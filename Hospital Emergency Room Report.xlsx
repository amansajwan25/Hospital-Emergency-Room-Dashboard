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ns\OneDrive\Desktop\"/>
    </mc:Choice>
  </mc:AlternateContent>
  <xr:revisionPtr revIDLastSave="0" documentId="13_ncr:1_{0A33F138-E0B7-498C-9A70-F88800417B2A}" xr6:coauthVersionLast="47" xr6:coauthVersionMax="47" xr10:uidLastSave="{00000000-0000-0000-0000-000000000000}"/>
  <bookViews>
    <workbookView xWindow="-110" yWindow="-110" windowWidth="19420" windowHeight="10300" firstSheet="2" activeTab="1" xr2:uid="{BC672D95-607E-4E82-8F3D-939E22B1C9DA}"/>
  </bookViews>
  <sheets>
    <sheet name="dashboard" sheetId="2" r:id="rId1"/>
    <sheet name="pivot report" sheetId="1" r:id="rId2"/>
    <sheet name="Daily Patient ER" sheetId="4" r:id="rId3"/>
    <sheet name="Avg waitime" sheetId="3" r:id="rId4"/>
    <sheet name="Satisfaction Score" sheetId="6" r:id="rId5"/>
  </sheets>
  <definedNames>
    <definedName name="Slicer_date__Month">#N/A</definedName>
    <definedName name="Slicer_date__Year">#N/A</definedName>
  </definedNames>
  <calcPr calcId="191029"/>
  <pivotCaches>
    <pivotCache cacheId="797" r:id="rId6"/>
    <pivotCache cacheId="800" r:id="rId7"/>
    <pivotCache cacheId="803" r:id="rId8"/>
    <pivotCache cacheId="806" r:id="rId9"/>
    <pivotCache cacheId="809" r:id="rId10"/>
    <pivotCache cacheId="812" r:id="rId11"/>
    <pivotCache cacheId="815" r:id="rId12"/>
    <pivotCache cacheId="818" r:id="rId13"/>
    <pivotCache cacheId="821" r:id="rId14"/>
    <pivotCache cacheId="824" r:id="rId15"/>
    <pivotCache cacheId="827" r:id="rId16"/>
    <pivotCache cacheId="830" r:id="rId17"/>
  </pivotCaches>
  <extLst>
    <ext xmlns:x14="http://schemas.microsoft.com/office/spreadsheetml/2009/9/main" uri="{876F7934-8845-4945-9796-88D515C7AA90}">
      <x14:pivotCaches>
        <pivotCache cacheId="295"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atients_data_500_f0fd2d20-dfb6-45f7-9398-b36c29d05138" name="patients_data_500" connection="Query - patients_data_500"/>
          <x15:modelTable id="Calender Table_92487289-0461-470d-adb6-7848861847e5" name="Calender Table" connection="Query - Calender Table"/>
        </x15:modelTables>
        <x15:modelRelationships>
          <x15:modelRelationship fromTable="patients_data_500" fromColumn="patient_admission_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8" i="1" l="1"/>
  <c r="L27" i="1"/>
  <c r="M27" i="1"/>
  <c r="N27" i="1"/>
  <c r="M28" i="1"/>
  <c r="N2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2D4DC4-0E9B-405F-8C54-E63141637ED1}" name="Query - Calender Table" description="Connection to the 'Calender Table' query in the workbook." type="100" refreshedVersion="7" minRefreshableVersion="5">
    <extLst>
      <ext xmlns:x15="http://schemas.microsoft.com/office/spreadsheetml/2010/11/main" uri="{DE250136-89BD-433C-8126-D09CA5730AF9}">
        <x15:connection id="ead7c55b-8887-470f-af04-8c7be6b8a17d"/>
      </ext>
    </extLst>
  </connection>
  <connection id="2" xr16:uid="{010FA54E-2EC2-42E2-9DFE-2F0F3F4700E7}" name="Query - patients_data_500" description="Connection to the 'patients_data_500' query in the workbook." type="100" refreshedVersion="7" minRefreshableVersion="5">
    <extLst>
      <ext xmlns:x15="http://schemas.microsoft.com/office/spreadsheetml/2010/11/main" uri="{DE250136-89BD-433C-8126-D09CA5730AF9}">
        <x15:connection id="babf781e-34b8-4840-90d3-6e040d216a83"/>
      </ext>
    </extLst>
  </connection>
  <connection id="3" xr16:uid="{DF4A2D03-6DDF-44AA-9129-4D61A1D06FAA}"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<sst xmlns="http://schemas.openxmlformats.org/spreadsheetml/2006/main" count="120" uniqueCount="67">
  <si>
    <t>Distinct Count of patient_id</t>
  </si>
  <si>
    <t>Average of patient_wait_time</t>
  </si>
  <si>
    <t>Average of patient_satisfaction_score</t>
  </si>
  <si>
    <t xml:space="preserve"> </t>
  </si>
  <si>
    <t>Row Labels</t>
  </si>
  <si>
    <t>Grand Total</t>
  </si>
  <si>
    <t>daily trends of patient in ER</t>
  </si>
  <si>
    <t>AVG waittime</t>
  </si>
  <si>
    <t xml:space="preserve"> * </t>
  </si>
  <si>
    <t>1. Totsl no of patients visiting ER each day.daily trends sparkling patterns of busy days.</t>
  </si>
  <si>
    <t>2. AVG waitime of patients wait to get a medical assistance. Show area sparkling to track daily changes and days with longer waitime.</t>
  </si>
  <si>
    <t>3. AVG satisfaction score to asses service quality and show trend to see the drop in sccore and area for improvement.</t>
  </si>
  <si>
    <t>satisfaction trends</t>
  </si>
  <si>
    <t>Count of patient_admission_flag</t>
  </si>
  <si>
    <t>Admitted</t>
  </si>
  <si>
    <t>Not Admitted</t>
  </si>
  <si>
    <t>Count of patient_admission_flag2</t>
  </si>
  <si>
    <t>Admission Status</t>
  </si>
  <si>
    <t>% Status</t>
  </si>
  <si>
    <t>Patient</t>
  </si>
  <si>
    <t>Count of age-group</t>
  </si>
  <si>
    <t>10-19</t>
  </si>
  <si>
    <t>20-29</t>
  </si>
  <si>
    <t>30-39</t>
  </si>
  <si>
    <t>60-69</t>
  </si>
  <si>
    <t>70-79</t>
  </si>
  <si>
    <t>50-59</t>
  </si>
  <si>
    <t>age group analyse</t>
  </si>
  <si>
    <t>Ontime</t>
  </si>
  <si>
    <t>Delay</t>
  </si>
  <si>
    <t>Count of Calculated Column 1</t>
  </si>
  <si>
    <t>attend status</t>
  </si>
  <si>
    <t>Count of patient_gender</t>
  </si>
  <si>
    <t>Female</t>
  </si>
  <si>
    <t>Male</t>
  </si>
  <si>
    <t>gender wise analysis</t>
  </si>
  <si>
    <t>Count of department_referral</t>
  </si>
  <si>
    <t>Cardiology</t>
  </si>
  <si>
    <t>Dermatology</t>
  </si>
  <si>
    <t>Endocrinology</t>
  </si>
  <si>
    <t>Gastroenterology</t>
  </si>
  <si>
    <t>Nephrology</t>
  </si>
  <si>
    <t>Neurology</t>
  </si>
  <si>
    <t>Oncology</t>
  </si>
  <si>
    <t>Orthopedics</t>
  </si>
  <si>
    <t>Pediatrics</t>
  </si>
  <si>
    <t>Psychiatry</t>
  </si>
  <si>
    <t>Pulmonology</t>
  </si>
  <si>
    <t>Rheumatology</t>
  </si>
  <si>
    <t>2025</t>
  </si>
  <si>
    <t>1-Jan</t>
  </si>
  <si>
    <t>2-Jan</t>
  </si>
  <si>
    <t>8-Jan</t>
  </si>
  <si>
    <t>15-Jan</t>
  </si>
  <si>
    <t>17-Jan</t>
  </si>
  <si>
    <t>19-Jan</t>
  </si>
  <si>
    <t>21-Jan</t>
  </si>
  <si>
    <t>27-Jan</t>
  </si>
  <si>
    <t>3-Jan</t>
  </si>
  <si>
    <t>7-Jan</t>
  </si>
  <si>
    <t>9-Jan</t>
  </si>
  <si>
    <t>10-Jan</t>
  </si>
  <si>
    <t>12-Jan</t>
  </si>
  <si>
    <t>13-Jan</t>
  </si>
  <si>
    <t>14-Jan</t>
  </si>
  <si>
    <t>20-Jan</t>
  </si>
  <si>
    <t>29-Jan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</si>
</sst>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tint="0.499984740745262"/>
      <name val="Calibri"/>
      <family val="2"/>
      <scheme val="minor"/>
    </font>
    <font>
      <sz val="11"/>
      <color theme="1"/>
      <name val="Calibri"/>
      <family val="2"/>
      <scheme val="minor"/>
    </font>
    <font>
      <strike/>
      <sz val="11"/>
      <color theme="1"/>
      <name val="Calibri"/>
      <family val="2"/>
      <scheme val="minor"/>
    </font>
    <font>
      <sz val="10"/>
      <color theme="1"/>
      <name val="Bahnschrift SemiLight"/>
      <family val="2"/>
    </font>
  </fonts>
  <fills count="6">
    <fill>
      <patternFill patternType="none"/>
    </fill>
    <fill>
      <patternFill patternType="gray125"/>
    </fill>
    <fill>
      <patternFill patternType="solid">
        <fgColor theme="1"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0" fillId="0" borderId="0" xfId="0" applyNumberFormat="1"/>
    <xf numFmtId="2"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3" fillId="0" borderId="0" xfId="0" applyFont="1"/>
    <xf numFmtId="0" fontId="4" fillId="4" borderId="0" xfId="0" applyFont="1" applyFill="1" applyAlignment="1">
      <alignment horizontal="center"/>
    </xf>
    <xf numFmtId="9" fontId="4" fillId="4" borderId="0" xfId="1" applyFont="1" applyFill="1" applyAlignment="1">
      <alignment horizontal="center"/>
    </xf>
    <xf numFmtId="0" fontId="4" fillId="4" borderId="0" xfId="0" applyFont="1" applyFill="1"/>
    <xf numFmtId="0" fontId="4" fillId="5" borderId="0" xfId="0" applyFont="1" applyFill="1" applyAlignment="1">
      <alignment horizontal="center"/>
    </xf>
    <xf numFmtId="0" fontId="4" fillId="5" borderId="0" xfId="0" applyFont="1" applyFill="1"/>
  </cellXfs>
  <cellStyles count="2">
    <cellStyle name="Normal" xfId="0" builtinId="0"/>
    <cellStyle name="Per cent" xfId="1" builtinId="5"/>
  </cellStyles>
  <dxfs count="14">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sz val="8"/>
        <color theme="1"/>
        <name val="Cascadia Code"/>
        <family val="3"/>
        <scheme val="none"/>
      </font>
      <fill>
        <patternFill>
          <bgColor theme="0"/>
        </patternFill>
      </fill>
      <border diagonalUp="0" diagonalDown="0">
        <left/>
        <right/>
        <top/>
        <bottom/>
        <vertical/>
        <horizontal/>
      </border>
    </dxf>
  </dxfs>
  <tableStyles count="1" defaultTableStyle="TableStyleMedium2" defaultPivotStyle="PivotStyleLight16">
    <tableStyle name="My" pivot="0" table="0" count="10" xr9:uid="{771E5623-0A5A-4E46-B48A-546B67B4A481}">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[Aman.xlsx]pivot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777849941194659E-2"/>
          <c:y val="1.0278915135608049E-2"/>
          <c:w val="0.9662588846191339"/>
          <c:h val="0.67474573503942425"/>
        </c:manualLayout>
      </c:layout>
      <c:areaChart>
        <c:grouping val="standard"/>
        <c:varyColors val="0"/>
        <c:ser>
          <c:idx val="0"/>
          <c:order val="0"/>
          <c:tx>
            <c:strRef>
              <c:f>'pivot report'!$C$6</c:f>
              <c:strCache>
                <c:ptCount val="1"/>
                <c:pt idx="0">
                  <c:v>Total</c:v>
                </c:pt>
              </c:strCache>
            </c:strRef>
          </c:tx>
          <c:spPr>
            <a:solidFill>
              <a:schemeClr val="accent1"/>
            </a:solidFill>
            <a:ln>
              <a:noFill/>
            </a:ln>
            <a:effectLst/>
          </c:spPr>
          <c:cat>
            <c:strRef>
              <c:f>'pivot report'!$B$7:$B$24</c:f>
              <c:strCache>
                <c:ptCount val="17"/>
                <c:pt idx="0">
                  <c:v>1-Jan</c:v>
                </c:pt>
                <c:pt idx="1">
                  <c:v>2-Jan</c:v>
                </c:pt>
                <c:pt idx="2">
                  <c:v>3-Jan</c:v>
                </c:pt>
                <c:pt idx="3">
                  <c:v>7-Jan</c:v>
                </c:pt>
                <c:pt idx="4">
                  <c:v>8-Jan</c:v>
                </c:pt>
                <c:pt idx="5">
                  <c:v>9-Jan</c:v>
                </c:pt>
                <c:pt idx="6">
                  <c:v>10-Jan</c:v>
                </c:pt>
                <c:pt idx="7">
                  <c:v>12-Jan</c:v>
                </c:pt>
                <c:pt idx="8">
                  <c:v>13-Jan</c:v>
                </c:pt>
                <c:pt idx="9">
                  <c:v>14-Jan</c:v>
                </c:pt>
                <c:pt idx="10">
                  <c:v>15-Jan</c:v>
                </c:pt>
                <c:pt idx="11">
                  <c:v>17-Jan</c:v>
                </c:pt>
                <c:pt idx="12">
                  <c:v>19-Jan</c:v>
                </c:pt>
                <c:pt idx="13">
                  <c:v>20-Jan</c:v>
                </c:pt>
                <c:pt idx="14">
                  <c:v>21-Jan</c:v>
                </c:pt>
                <c:pt idx="15">
                  <c:v>27-Jan</c:v>
                </c:pt>
                <c:pt idx="16">
                  <c:v>29-Jan</c:v>
                </c:pt>
              </c:strCache>
            </c:strRef>
          </c:cat>
          <c:val>
            <c:numRef>
              <c:f>'pivot report'!$C$7:$C$24</c:f>
              <c:numCache>
                <c:formatCode>General</c:formatCode>
                <c:ptCount val="17"/>
                <c:pt idx="0">
                  <c:v>2</c:v>
                </c:pt>
                <c:pt idx="1">
                  <c:v>1</c:v>
                </c:pt>
                <c:pt idx="2">
                  <c:v>1</c:v>
                </c:pt>
                <c:pt idx="3">
                  <c:v>1</c:v>
                </c:pt>
                <c:pt idx="4">
                  <c:v>2</c:v>
                </c:pt>
                <c:pt idx="5">
                  <c:v>2</c:v>
                </c:pt>
                <c:pt idx="6">
                  <c:v>1</c:v>
                </c:pt>
                <c:pt idx="7">
                  <c:v>2</c:v>
                </c:pt>
                <c:pt idx="8">
                  <c:v>1</c:v>
                </c:pt>
                <c:pt idx="9">
                  <c:v>1</c:v>
                </c:pt>
                <c:pt idx="10">
                  <c:v>1</c:v>
                </c:pt>
                <c:pt idx="11">
                  <c:v>2</c:v>
                </c:pt>
                <c:pt idx="12">
                  <c:v>1</c:v>
                </c:pt>
                <c:pt idx="13">
                  <c:v>1</c:v>
                </c:pt>
                <c:pt idx="14">
                  <c:v>1</c:v>
                </c:pt>
                <c:pt idx="15">
                  <c:v>1</c:v>
                </c:pt>
                <c:pt idx="16">
                  <c:v>2</c:v>
                </c:pt>
              </c:numCache>
            </c:numRef>
          </c:val>
          <c:extLst>
            <c:ext xmlns:c16="http://schemas.microsoft.com/office/drawing/2014/chart" uri="{C3380CC4-5D6E-409C-BE32-E72D297353CC}">
              <c16:uniqueId val="{00000000-3441-4F15-8B8F-840CCAB81A53}"/>
            </c:ext>
          </c:extLst>
        </c:ser>
        <c:dLbls>
          <c:showLegendKey val="0"/>
          <c:showVal val="0"/>
          <c:showCatName val="0"/>
          <c:showSerName val="0"/>
          <c:showPercent val="0"/>
          <c:showBubbleSize val="0"/>
        </c:dLbls>
        <c:axId val="646660079"/>
        <c:axId val="646651759"/>
      </c:areaChart>
      <c:catAx>
        <c:axId val="646660079"/>
        <c:scaling>
          <c:orientation val="minMax"/>
        </c:scaling>
        <c:delete val="1"/>
        <c:axPos val="b"/>
        <c:numFmt formatCode="General" sourceLinked="1"/>
        <c:majorTickMark val="out"/>
        <c:minorTickMark val="none"/>
        <c:tickLblPos val="nextTo"/>
        <c:crossAx val="646651759"/>
        <c:crosses val="autoZero"/>
        <c:auto val="1"/>
        <c:lblAlgn val="ctr"/>
        <c:lblOffset val="100"/>
        <c:noMultiLvlLbl val="0"/>
      </c:catAx>
      <c:valAx>
        <c:axId val="646651759"/>
        <c:scaling>
          <c:orientation val="minMax"/>
        </c:scaling>
        <c:delete val="1"/>
        <c:axPos val="l"/>
        <c:numFmt formatCode="General" sourceLinked="1"/>
        <c:majorTickMark val="none"/>
        <c:minorTickMark val="none"/>
        <c:tickLblPos val="nextTo"/>
        <c:crossAx val="6466600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[Aman.xlsx]pivot report!PivotTable5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49557070636798E-2"/>
          <c:y val="0.30824006175221924"/>
          <c:w val="0.919008858587264"/>
          <c:h val="0.61895815833087386"/>
        </c:manualLayout>
      </c:layout>
      <c:areaChart>
        <c:grouping val="standard"/>
        <c:varyColors val="0"/>
        <c:ser>
          <c:idx val="0"/>
          <c:order val="0"/>
          <c:tx>
            <c:strRef>
              <c:f>'pivot report'!$H$4</c:f>
              <c:strCache>
                <c:ptCount val="1"/>
                <c:pt idx="0">
                  <c:v>Total</c:v>
                </c:pt>
              </c:strCache>
            </c:strRef>
          </c:tx>
          <c:spPr>
            <a:solidFill>
              <a:schemeClr val="accent1"/>
            </a:solidFill>
            <a:ln>
              <a:noFill/>
            </a:ln>
            <a:effectLst/>
          </c:spPr>
          <c:cat>
            <c:strRef>
              <c:f>'pivot report'!$G$5:$G$22</c:f>
              <c:strCache>
                <c:ptCount val="17"/>
                <c:pt idx="0">
                  <c:v>1-Jan</c:v>
                </c:pt>
                <c:pt idx="1">
                  <c:v>2-Jan</c:v>
                </c:pt>
                <c:pt idx="2">
                  <c:v>3-Jan</c:v>
                </c:pt>
                <c:pt idx="3">
                  <c:v>7-Jan</c:v>
                </c:pt>
                <c:pt idx="4">
                  <c:v>8-Jan</c:v>
                </c:pt>
                <c:pt idx="5">
                  <c:v>9-Jan</c:v>
                </c:pt>
                <c:pt idx="6">
                  <c:v>10-Jan</c:v>
                </c:pt>
                <c:pt idx="7">
                  <c:v>12-Jan</c:v>
                </c:pt>
                <c:pt idx="8">
                  <c:v>13-Jan</c:v>
                </c:pt>
                <c:pt idx="9">
                  <c:v>14-Jan</c:v>
                </c:pt>
                <c:pt idx="10">
                  <c:v>15-Jan</c:v>
                </c:pt>
                <c:pt idx="11">
                  <c:v>17-Jan</c:v>
                </c:pt>
                <c:pt idx="12">
                  <c:v>19-Jan</c:v>
                </c:pt>
                <c:pt idx="13">
                  <c:v>20-Jan</c:v>
                </c:pt>
                <c:pt idx="14">
                  <c:v>21-Jan</c:v>
                </c:pt>
                <c:pt idx="15">
                  <c:v>27-Jan</c:v>
                </c:pt>
                <c:pt idx="16">
                  <c:v>29-Jan</c:v>
                </c:pt>
              </c:strCache>
            </c:strRef>
          </c:cat>
          <c:val>
            <c:numRef>
              <c:f>'pivot report'!$H$5:$H$22</c:f>
              <c:numCache>
                <c:formatCode>0.00</c:formatCode>
                <c:ptCount val="17"/>
                <c:pt idx="0">
                  <c:v>118.5</c:v>
                </c:pt>
                <c:pt idx="1">
                  <c:v>37</c:v>
                </c:pt>
                <c:pt idx="2">
                  <c:v>31</c:v>
                </c:pt>
                <c:pt idx="3">
                  <c:v>108</c:v>
                </c:pt>
                <c:pt idx="4">
                  <c:v>135.5</c:v>
                </c:pt>
                <c:pt idx="5">
                  <c:v>155</c:v>
                </c:pt>
                <c:pt idx="6">
                  <c:v>164</c:v>
                </c:pt>
                <c:pt idx="7">
                  <c:v>123</c:v>
                </c:pt>
                <c:pt idx="8">
                  <c:v>71</c:v>
                </c:pt>
                <c:pt idx="9">
                  <c:v>40</c:v>
                </c:pt>
                <c:pt idx="10">
                  <c:v>94</c:v>
                </c:pt>
                <c:pt idx="11">
                  <c:v>191</c:v>
                </c:pt>
                <c:pt idx="12">
                  <c:v>199</c:v>
                </c:pt>
                <c:pt idx="13">
                  <c:v>119</c:v>
                </c:pt>
                <c:pt idx="14">
                  <c:v>85</c:v>
                </c:pt>
                <c:pt idx="15">
                  <c:v>183</c:v>
                </c:pt>
                <c:pt idx="16">
                  <c:v>78</c:v>
                </c:pt>
              </c:numCache>
            </c:numRef>
          </c:val>
          <c:extLst>
            <c:ext xmlns:c16="http://schemas.microsoft.com/office/drawing/2014/chart" uri="{C3380CC4-5D6E-409C-BE32-E72D297353CC}">
              <c16:uniqueId val="{00000000-9F46-435F-874B-7EB1A781897E}"/>
            </c:ext>
          </c:extLst>
        </c:ser>
        <c:dLbls>
          <c:showLegendKey val="0"/>
          <c:showVal val="0"/>
          <c:showCatName val="0"/>
          <c:showSerName val="0"/>
          <c:showPercent val="0"/>
          <c:showBubbleSize val="0"/>
        </c:dLbls>
        <c:axId val="635051807"/>
        <c:axId val="635052223"/>
      </c:areaChart>
      <c:catAx>
        <c:axId val="635051807"/>
        <c:scaling>
          <c:orientation val="minMax"/>
        </c:scaling>
        <c:delete val="1"/>
        <c:axPos val="b"/>
        <c:numFmt formatCode="General" sourceLinked="1"/>
        <c:majorTickMark val="out"/>
        <c:minorTickMark val="none"/>
        <c:tickLblPos val="nextTo"/>
        <c:crossAx val="635052223"/>
        <c:crosses val="autoZero"/>
        <c:auto val="1"/>
        <c:lblAlgn val="ctr"/>
        <c:lblOffset val="100"/>
        <c:noMultiLvlLbl val="0"/>
      </c:catAx>
      <c:valAx>
        <c:axId val="635052223"/>
        <c:scaling>
          <c:orientation val="minMax"/>
        </c:scaling>
        <c:delete val="1"/>
        <c:axPos val="l"/>
        <c:numFmt formatCode="0.00" sourceLinked="1"/>
        <c:majorTickMark val="none"/>
        <c:minorTickMark val="none"/>
        <c:tickLblPos val="nextTo"/>
        <c:crossAx val="635051807"/>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[Aman.xlsx]pivot report!PivotTable6</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33544953477361E-3"/>
          <c:y val="0"/>
          <c:w val="0.99204664550465227"/>
          <c:h val="1"/>
        </c:manualLayout>
      </c:layout>
      <c:areaChart>
        <c:grouping val="standard"/>
        <c:varyColors val="0"/>
        <c:ser>
          <c:idx val="0"/>
          <c:order val="0"/>
          <c:tx>
            <c:strRef>
              <c:f>'pivot report'!$K$4</c:f>
              <c:strCache>
                <c:ptCount val="1"/>
                <c:pt idx="0">
                  <c:v>Total</c:v>
                </c:pt>
              </c:strCache>
            </c:strRef>
          </c:tx>
          <c:spPr>
            <a:solidFill>
              <a:schemeClr val="accent1"/>
            </a:solidFill>
            <a:ln>
              <a:noFill/>
            </a:ln>
            <a:effectLst/>
          </c:spPr>
          <c:cat>
            <c:strRef>
              <c:f>'pivot report'!$J$5:$J$22</c:f>
              <c:strCache>
                <c:ptCount val="17"/>
                <c:pt idx="0">
                  <c:v>1-Jan</c:v>
                </c:pt>
                <c:pt idx="1">
                  <c:v>2-Jan</c:v>
                </c:pt>
                <c:pt idx="2">
                  <c:v>3-Jan</c:v>
                </c:pt>
                <c:pt idx="3">
                  <c:v>7-Jan</c:v>
                </c:pt>
                <c:pt idx="4">
                  <c:v>8-Jan</c:v>
                </c:pt>
                <c:pt idx="5">
                  <c:v>9-Jan</c:v>
                </c:pt>
                <c:pt idx="6">
                  <c:v>10-Jan</c:v>
                </c:pt>
                <c:pt idx="7">
                  <c:v>12-Jan</c:v>
                </c:pt>
                <c:pt idx="8">
                  <c:v>13-Jan</c:v>
                </c:pt>
                <c:pt idx="9">
                  <c:v>14-Jan</c:v>
                </c:pt>
                <c:pt idx="10">
                  <c:v>15-Jan</c:v>
                </c:pt>
                <c:pt idx="11">
                  <c:v>17-Jan</c:v>
                </c:pt>
                <c:pt idx="12">
                  <c:v>19-Jan</c:v>
                </c:pt>
                <c:pt idx="13">
                  <c:v>20-Jan</c:v>
                </c:pt>
                <c:pt idx="14">
                  <c:v>21-Jan</c:v>
                </c:pt>
                <c:pt idx="15">
                  <c:v>27-Jan</c:v>
                </c:pt>
                <c:pt idx="16">
                  <c:v>29-Jan</c:v>
                </c:pt>
              </c:strCache>
            </c:strRef>
          </c:cat>
          <c:val>
            <c:numRef>
              <c:f>'pivot report'!$K$5:$K$22</c:f>
              <c:numCache>
                <c:formatCode>0.00</c:formatCode>
                <c:ptCount val="17"/>
                <c:pt idx="0">
                  <c:v>4.5999999999999996</c:v>
                </c:pt>
                <c:pt idx="1">
                  <c:v>5.3</c:v>
                </c:pt>
                <c:pt idx="2">
                  <c:v>2.5</c:v>
                </c:pt>
                <c:pt idx="3">
                  <c:v>4.0999999999999996</c:v>
                </c:pt>
                <c:pt idx="4">
                  <c:v>5.9</c:v>
                </c:pt>
                <c:pt idx="5">
                  <c:v>3.8</c:v>
                </c:pt>
                <c:pt idx="6">
                  <c:v>5.9</c:v>
                </c:pt>
                <c:pt idx="7">
                  <c:v>4.9000000000000004</c:v>
                </c:pt>
                <c:pt idx="8">
                  <c:v>3.4</c:v>
                </c:pt>
                <c:pt idx="9">
                  <c:v>6.4</c:v>
                </c:pt>
                <c:pt idx="10">
                  <c:v>9.4</c:v>
                </c:pt>
                <c:pt idx="11">
                  <c:v>4.2</c:v>
                </c:pt>
                <c:pt idx="12">
                  <c:v>6.6</c:v>
                </c:pt>
                <c:pt idx="13">
                  <c:v>8.9</c:v>
                </c:pt>
                <c:pt idx="14">
                  <c:v>4.3</c:v>
                </c:pt>
                <c:pt idx="15">
                  <c:v>7.6</c:v>
                </c:pt>
                <c:pt idx="16">
                  <c:v>4</c:v>
                </c:pt>
              </c:numCache>
            </c:numRef>
          </c:val>
          <c:extLst>
            <c:ext xmlns:c16="http://schemas.microsoft.com/office/drawing/2014/chart" uri="{C3380CC4-5D6E-409C-BE32-E72D297353CC}">
              <c16:uniqueId val="{00000000-5F4B-4855-8908-D4362365383E}"/>
            </c:ext>
          </c:extLst>
        </c:ser>
        <c:dLbls>
          <c:showLegendKey val="0"/>
          <c:showVal val="0"/>
          <c:showCatName val="0"/>
          <c:showSerName val="0"/>
          <c:showPercent val="0"/>
          <c:showBubbleSize val="0"/>
        </c:dLbls>
        <c:axId val="671841168"/>
        <c:axId val="671838672"/>
      </c:areaChart>
      <c:catAx>
        <c:axId val="671841168"/>
        <c:scaling>
          <c:orientation val="minMax"/>
        </c:scaling>
        <c:delete val="1"/>
        <c:axPos val="b"/>
        <c:numFmt formatCode="General" sourceLinked="1"/>
        <c:majorTickMark val="out"/>
        <c:minorTickMark val="none"/>
        <c:tickLblPos val="nextTo"/>
        <c:crossAx val="671838672"/>
        <c:crosses val="autoZero"/>
        <c:auto val="1"/>
        <c:lblAlgn val="ctr"/>
        <c:lblOffset val="100"/>
        <c:noMultiLvlLbl val="0"/>
      </c:catAx>
      <c:valAx>
        <c:axId val="671838672"/>
        <c:scaling>
          <c:orientation val="minMax"/>
        </c:scaling>
        <c:delete val="1"/>
        <c:axPos val="l"/>
        <c:numFmt formatCode="0.00" sourceLinked="1"/>
        <c:majorTickMark val="none"/>
        <c:minorTickMark val="none"/>
        <c:tickLblPos val="nextTo"/>
        <c:crossAx val="671841168"/>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[Aman.xlsx]pivot report!PivotTable9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3.7942358984011181E-2"/>
          <c:w val="0.93888888888888888"/>
          <c:h val="0.7420083906389926"/>
        </c:manualLayout>
      </c:layout>
      <c:barChart>
        <c:barDir val="col"/>
        <c:grouping val="clustered"/>
        <c:varyColors val="0"/>
        <c:ser>
          <c:idx val="0"/>
          <c:order val="0"/>
          <c:tx>
            <c:strRef>
              <c:f>'pivot report'!$M$36</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report'!$L$37:$L$43</c:f>
              <c:strCache>
                <c:ptCount val="6"/>
                <c:pt idx="0">
                  <c:v>10-19</c:v>
                </c:pt>
                <c:pt idx="1">
                  <c:v>20-29</c:v>
                </c:pt>
                <c:pt idx="2">
                  <c:v>30-39</c:v>
                </c:pt>
                <c:pt idx="3">
                  <c:v>50-59</c:v>
                </c:pt>
                <c:pt idx="4">
                  <c:v>60-69</c:v>
                </c:pt>
                <c:pt idx="5">
                  <c:v>70-79</c:v>
                </c:pt>
              </c:strCache>
            </c:strRef>
          </c:cat>
          <c:val>
            <c:numRef>
              <c:f>'pivot report'!$M$37:$M$43</c:f>
              <c:numCache>
                <c:formatCode>0</c:formatCode>
                <c:ptCount val="6"/>
                <c:pt idx="0">
                  <c:v>2</c:v>
                </c:pt>
                <c:pt idx="1">
                  <c:v>3</c:v>
                </c:pt>
                <c:pt idx="2">
                  <c:v>7</c:v>
                </c:pt>
                <c:pt idx="3">
                  <c:v>2</c:v>
                </c:pt>
                <c:pt idx="4">
                  <c:v>4</c:v>
                </c:pt>
                <c:pt idx="5">
                  <c:v>5</c:v>
                </c:pt>
              </c:numCache>
            </c:numRef>
          </c:val>
          <c:extLst>
            <c:ext xmlns:c16="http://schemas.microsoft.com/office/drawing/2014/chart" uri="{C3380CC4-5D6E-409C-BE32-E72D297353CC}">
              <c16:uniqueId val="{00000000-6B4E-4CDC-B3E4-605236B4290B}"/>
            </c:ext>
          </c:extLst>
        </c:ser>
        <c:dLbls>
          <c:showLegendKey val="0"/>
          <c:showVal val="0"/>
          <c:showCatName val="0"/>
          <c:showSerName val="0"/>
          <c:showPercent val="0"/>
          <c:showBubbleSize val="0"/>
        </c:dLbls>
        <c:gapWidth val="219"/>
        <c:overlap val="-27"/>
        <c:axId val="1913048208"/>
        <c:axId val="1913053200"/>
      </c:barChart>
      <c:catAx>
        <c:axId val="191304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053200"/>
        <c:crosses val="autoZero"/>
        <c:auto val="1"/>
        <c:lblAlgn val="ctr"/>
        <c:lblOffset val="100"/>
        <c:noMultiLvlLbl val="0"/>
      </c:catAx>
      <c:valAx>
        <c:axId val="1913053200"/>
        <c:scaling>
          <c:orientation val="minMax"/>
        </c:scaling>
        <c:delete val="1"/>
        <c:axPos val="l"/>
        <c:numFmt formatCode="0" sourceLinked="1"/>
        <c:majorTickMark val="none"/>
        <c:minorTickMark val="none"/>
        <c:tickLblPos val="nextTo"/>
        <c:crossAx val="1913048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[Aman.xlsx]pivot report!PivotTable10</c:name>
    <c:fmtId val="11"/>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F0"/>
          </a:solidFill>
          <a:ln>
            <a:noFill/>
          </a:ln>
          <a:effectLst>
            <a:outerShdw blurRad="254000" sx="102000" sy="102000" algn="ctr" rotWithShape="0">
              <a:prstClr val="black">
                <a:alpha val="20000"/>
              </a:prstClr>
            </a:outerShdw>
          </a:effectLst>
        </c:spPr>
      </c:pivotFmt>
      <c:pivotFmt>
        <c:idx val="6"/>
        <c:spPr>
          <a:solidFill>
            <a:srgbClr val="FFFF00"/>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900361076831666"/>
          <c:y val="0.18559923422432167"/>
          <c:w val="0.60398606477037853"/>
          <c:h val="0.61042124719554547"/>
        </c:manualLayout>
      </c:layout>
      <c:pieChart>
        <c:varyColors val="1"/>
        <c:ser>
          <c:idx val="0"/>
          <c:order val="0"/>
          <c:tx>
            <c:strRef>
              <c:f>'pivot report'!$P$36</c:f>
              <c:strCache>
                <c:ptCount val="1"/>
                <c:pt idx="0">
                  <c:v>Total</c:v>
                </c:pt>
              </c:strCache>
            </c:strRef>
          </c:tx>
          <c:dPt>
            <c:idx val="0"/>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65-4458-ACF3-883C5087D421}"/>
              </c:ext>
            </c:extLst>
          </c:dPt>
          <c:dPt>
            <c:idx val="1"/>
            <c:bubble3D val="0"/>
            <c:spPr>
              <a:solidFill>
                <a:srgbClr val="FFFF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65-4458-ACF3-883C5087D42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report'!$O$37:$O$39</c:f>
              <c:strCache>
                <c:ptCount val="2"/>
                <c:pt idx="0">
                  <c:v>Delay</c:v>
                </c:pt>
                <c:pt idx="1">
                  <c:v>Ontime</c:v>
                </c:pt>
              </c:strCache>
            </c:strRef>
          </c:cat>
          <c:val>
            <c:numRef>
              <c:f>'pivot report'!$P$37:$P$39</c:f>
              <c:numCache>
                <c:formatCode>0</c:formatCode>
                <c:ptCount val="2"/>
                <c:pt idx="0">
                  <c:v>9</c:v>
                </c:pt>
                <c:pt idx="1">
                  <c:v>14</c:v>
                </c:pt>
              </c:numCache>
            </c:numRef>
          </c:val>
          <c:extLst>
            <c:ext xmlns:c16="http://schemas.microsoft.com/office/drawing/2014/chart" uri="{C3380CC4-5D6E-409C-BE32-E72D297353CC}">
              <c16:uniqueId val="{00000004-A165-4458-ACF3-883C5087D42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8904467588801397"/>
          <c:y val="2.6220888045725841E-2"/>
          <c:w val="0.42395810201366624"/>
          <c:h val="0.1426605231220078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[Aman.xlsx]pivot report!PivotTable11</c:name>
    <c:fmtId val="15"/>
  </c:pivotSource>
  <c:chart>
    <c:autoTitleDeleted val="1"/>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rgbClr val="00B0F0"/>
          </a:solidFill>
          <a:ln>
            <a:noFill/>
          </a:ln>
          <a:effectLst>
            <a:outerShdw blurRad="254000" sx="102000" sy="102000" algn="ctr" rotWithShape="0">
              <a:prstClr val="black">
                <a:alpha val="20000"/>
              </a:prstClr>
            </a:outerShdw>
          </a:effectLst>
        </c:spPr>
        <c:marker>
          <c:symbol val="none"/>
        </c:marker>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FF00"/>
          </a:solidFill>
          <a:ln>
            <a:noFill/>
          </a:ln>
          <a:effectLst>
            <a:outerShdw blurRad="254000" sx="102000" sy="102000" algn="ctr" rotWithShape="0">
              <a:prstClr val="black">
                <a:alpha val="20000"/>
              </a:prstClr>
            </a:outerShdw>
          </a:effectLst>
        </c:spPr>
      </c:pivotFmt>
      <c:pivotFmt>
        <c:idx val="6"/>
        <c:spPr>
          <a:solidFill>
            <a:srgbClr val="00B0F0"/>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754344817005962"/>
          <c:y val="0.24064892486086173"/>
          <c:w val="0.59553414522735271"/>
          <c:h val="0.64155403091564756"/>
        </c:manualLayout>
      </c:layout>
      <c:doughnutChart>
        <c:varyColors val="1"/>
        <c:ser>
          <c:idx val="0"/>
          <c:order val="0"/>
          <c:tx>
            <c:strRef>
              <c:f>'pivot report'!$S$30</c:f>
              <c:strCache>
                <c:ptCount val="1"/>
                <c:pt idx="0">
                  <c:v>Total</c:v>
                </c:pt>
              </c:strCache>
            </c:strRef>
          </c:tx>
          <c:spPr>
            <a:solidFill>
              <a:srgbClr val="00B0F0"/>
            </a:solidFill>
          </c:spPr>
          <c:dPt>
            <c:idx val="0"/>
            <c:bubble3D val="0"/>
            <c:spPr>
              <a:solidFill>
                <a:srgbClr val="FFFF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9C5-4BEB-948C-4BA871F136FD}"/>
              </c:ext>
            </c:extLst>
          </c:dPt>
          <c:dPt>
            <c:idx val="1"/>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9C5-4BEB-948C-4BA871F136FD}"/>
              </c:ext>
            </c:extLst>
          </c:dPt>
          <c:dLbls>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report'!$R$31:$R$33</c:f>
              <c:strCache>
                <c:ptCount val="2"/>
                <c:pt idx="0">
                  <c:v>Female</c:v>
                </c:pt>
                <c:pt idx="1">
                  <c:v>Male</c:v>
                </c:pt>
              </c:strCache>
            </c:strRef>
          </c:cat>
          <c:val>
            <c:numRef>
              <c:f>'pivot report'!$S$31:$S$33</c:f>
              <c:numCache>
                <c:formatCode>0</c:formatCode>
                <c:ptCount val="2"/>
                <c:pt idx="0">
                  <c:v>13</c:v>
                </c:pt>
                <c:pt idx="1">
                  <c:v>10</c:v>
                </c:pt>
              </c:numCache>
            </c:numRef>
          </c:val>
          <c:extLst>
            <c:ext xmlns:c16="http://schemas.microsoft.com/office/drawing/2014/chart" uri="{C3380CC4-5D6E-409C-BE32-E72D297353CC}">
              <c16:uniqueId val="{00000004-59C5-4BEB-948C-4BA871F136FD}"/>
            </c:ext>
          </c:extLst>
        </c:ser>
        <c:dLbls>
          <c:showLegendKey val="0"/>
          <c:showVal val="0"/>
          <c:showCatName val="0"/>
          <c:showSerName val="0"/>
          <c:showPercent val="1"/>
          <c:showBubbleSize val="0"/>
          <c:showLeaderLines val="1"/>
        </c:dLbls>
        <c:firstSliceAng val="0"/>
        <c:holeSize val="58"/>
      </c:doughnutChart>
      <c:spPr>
        <a:solidFill>
          <a:schemeClr val="accent2"/>
        </a:solidFill>
        <a:ln>
          <a:noFill/>
        </a:ln>
        <a:effectLst/>
      </c:spPr>
    </c:plotArea>
    <c:legend>
      <c:legendPos val="r"/>
      <c:layout>
        <c:manualLayout>
          <c:xMode val="edge"/>
          <c:yMode val="edge"/>
          <c:x val="0.16860840775388045"/>
          <c:y val="6.3641060458523538E-2"/>
          <c:w val="0.62667209338850505"/>
          <c:h val="0.1253846419045768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[Aman.xlsx]pivot report!PivotTable12</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report'!$P$42</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report'!$O$43:$O$55</c:f>
              <c:strCache>
                <c:ptCount val="12"/>
                <c:pt idx="0">
                  <c:v>Endocrinology</c:v>
                </c:pt>
                <c:pt idx="1">
                  <c:v>Orthopedics</c:v>
                </c:pt>
                <c:pt idx="2">
                  <c:v>Pulmonology</c:v>
                </c:pt>
                <c:pt idx="3">
                  <c:v>Oncology</c:v>
                </c:pt>
                <c:pt idx="4">
                  <c:v>Rheumatology</c:v>
                </c:pt>
                <c:pt idx="5">
                  <c:v>Gastroenterology</c:v>
                </c:pt>
                <c:pt idx="6">
                  <c:v>Cardiology</c:v>
                </c:pt>
                <c:pt idx="7">
                  <c:v>Neurology</c:v>
                </c:pt>
                <c:pt idx="8">
                  <c:v>Dermatology</c:v>
                </c:pt>
                <c:pt idx="9">
                  <c:v>Nephrology</c:v>
                </c:pt>
                <c:pt idx="10">
                  <c:v>Pediatrics</c:v>
                </c:pt>
                <c:pt idx="11">
                  <c:v>Psychiatry</c:v>
                </c:pt>
              </c:strCache>
            </c:strRef>
          </c:cat>
          <c:val>
            <c:numRef>
              <c:f>'pivot report'!$P$43:$P$55</c:f>
              <c:numCache>
                <c:formatCode>0</c:formatCode>
                <c:ptCount val="12"/>
                <c:pt idx="0">
                  <c:v>3</c:v>
                </c:pt>
                <c:pt idx="1">
                  <c:v>3</c:v>
                </c:pt>
                <c:pt idx="2">
                  <c:v>3</c:v>
                </c:pt>
                <c:pt idx="3">
                  <c:v>2</c:v>
                </c:pt>
                <c:pt idx="4">
                  <c:v>2</c:v>
                </c:pt>
                <c:pt idx="5">
                  <c:v>2</c:v>
                </c:pt>
                <c:pt idx="6">
                  <c:v>2</c:v>
                </c:pt>
                <c:pt idx="7">
                  <c:v>2</c:v>
                </c:pt>
                <c:pt idx="8">
                  <c:v>1</c:v>
                </c:pt>
                <c:pt idx="9">
                  <c:v>1</c:v>
                </c:pt>
                <c:pt idx="10">
                  <c:v>1</c:v>
                </c:pt>
                <c:pt idx="11">
                  <c:v>1</c:v>
                </c:pt>
              </c:numCache>
            </c:numRef>
          </c:val>
          <c:extLst>
            <c:ext xmlns:c16="http://schemas.microsoft.com/office/drawing/2014/chart" uri="{C3380CC4-5D6E-409C-BE32-E72D297353CC}">
              <c16:uniqueId val="{00000000-5BFE-422D-994E-FE75D2742F18}"/>
            </c:ext>
          </c:extLst>
        </c:ser>
        <c:dLbls>
          <c:showLegendKey val="0"/>
          <c:showVal val="0"/>
          <c:showCatName val="0"/>
          <c:showSerName val="0"/>
          <c:showPercent val="0"/>
          <c:showBubbleSize val="0"/>
        </c:dLbls>
        <c:gapWidth val="112"/>
        <c:axId val="948525968"/>
        <c:axId val="948615936"/>
      </c:barChart>
      <c:catAx>
        <c:axId val="94852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48615936"/>
        <c:crosses val="autoZero"/>
        <c:auto val="1"/>
        <c:lblAlgn val="ctr"/>
        <c:lblOffset val="100"/>
        <c:noMultiLvlLbl val="0"/>
      </c:catAx>
      <c:valAx>
        <c:axId val="9486159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52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[Aman.xlsx]pivot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4B1A57B-B48E-4FD5-8027-A9C8DE986EA5}"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layout>
            <c:manualLayout>
              <c:x val="6.0975609756097563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06FD618-6B90-40A6-8092-32230DBE4E70}" type="CELLRANGE">
                  <a:rPr lang="en-US" sz="700"/>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barChart>
        <c:barDir val="bar"/>
        <c:grouping val="clustered"/>
        <c:varyColors val="0"/>
        <c:ser>
          <c:idx val="0"/>
          <c:order val="0"/>
          <c:tx>
            <c:strRef>
              <c:f>'pivot report'!$O$16:$O$17</c:f>
              <c:strCache>
                <c:ptCount val="1"/>
                <c:pt idx="0">
                  <c:v>Count of patient_admission_flag</c:v>
                </c:pt>
              </c:strCache>
            </c:strRef>
          </c:tx>
          <c:spPr>
            <a:solidFill>
              <a:schemeClr val="accent1"/>
            </a:solidFill>
            <a:ln>
              <a:noFill/>
            </a:ln>
            <a:effectLst/>
          </c:spPr>
          <c:invertIfNegative val="0"/>
          <c:dLbls>
            <c:dLbl>
              <c:idx val="0"/>
              <c:layout>
                <c:manualLayout>
                  <c:x val="6.0975609756097563E-3"/>
                  <c:y val="0"/>
                </c:manualLayout>
              </c:layout>
              <c:tx>
                <c:rich>
                  <a:bodyPr/>
                  <a:lstStyle/>
                  <a:p>
                    <a:fld id="{D06FD618-6B90-40A6-8092-32230DBE4E70}" type="CELLRANGE">
                      <a:rPr lang="en-US" sz="7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792-47D5-B5E8-DE25919EAC1D}"/>
                </c:ext>
              </c:extLst>
            </c:dLbl>
            <c:dLbl>
              <c:idx val="1"/>
              <c:tx>
                <c:rich>
                  <a:bodyPr/>
                  <a:lstStyle/>
                  <a:p>
                    <a:fld id="{44B1A57B-B48E-4FD5-8027-A9C8DE986EA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792-47D5-B5E8-DE25919EAC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report'!$O$16:$O$17</c:f>
              <c:strCache>
                <c:ptCount val="2"/>
                <c:pt idx="0">
                  <c:v>Admitted</c:v>
                </c:pt>
                <c:pt idx="1">
                  <c:v>Not Admitted</c:v>
                </c:pt>
              </c:strCache>
            </c:strRef>
          </c:cat>
          <c:val>
            <c:numRef>
              <c:f>'pivot report'!$O$16:$O$17</c:f>
              <c:numCache>
                <c:formatCode>0</c:formatCode>
                <c:ptCount val="2"/>
                <c:pt idx="0">
                  <c:v>11</c:v>
                </c:pt>
                <c:pt idx="1">
                  <c:v>12</c:v>
                </c:pt>
              </c:numCache>
            </c:numRef>
          </c:val>
          <c:extLst>
            <c:ext xmlns:c15="http://schemas.microsoft.com/office/drawing/2012/chart" uri="{02D57815-91ED-43cb-92C2-25804820EDAC}">
              <c15:datalabelsRange>
                <c15:f>'pivot report'!$O$16:$O$17</c15:f>
                <c15:dlblRangeCache>
                  <c:ptCount val="2"/>
                  <c:pt idx="0">
                    <c:v>47.83%</c:v>
                  </c:pt>
                  <c:pt idx="1">
                    <c:v>52.17%</c:v>
                  </c:pt>
                </c15:dlblRangeCache>
              </c15:datalabelsRange>
            </c:ext>
            <c:ext xmlns:c16="http://schemas.microsoft.com/office/drawing/2014/chart" uri="{C3380CC4-5D6E-409C-BE32-E72D297353CC}">
              <c16:uniqueId val="{00000000-D792-47D5-B5E8-DE25919EAC1D}"/>
            </c:ext>
          </c:extLst>
        </c:ser>
        <c:ser>
          <c:idx val="1"/>
          <c:order val="1"/>
          <c:tx>
            <c:strRef>
              <c:f>'pivot report'!$O$16:$O$17</c:f>
              <c:strCache>
                <c:ptCount val="1"/>
                <c:pt idx="0">
                  <c:v>Count of patient_admission_flag2</c:v>
                </c:pt>
              </c:strCache>
            </c:strRef>
          </c:tx>
          <c:spPr>
            <a:solidFill>
              <a:schemeClr val="accent2"/>
            </a:solidFill>
            <a:ln>
              <a:noFill/>
            </a:ln>
            <a:effectLst/>
          </c:spPr>
          <c:invertIfNegative val="0"/>
          <c:cat>
            <c:strRef>
              <c:f>'pivot report'!$O$16:$O$17</c:f>
              <c:strCache>
                <c:ptCount val="2"/>
                <c:pt idx="0">
                  <c:v>Admitted</c:v>
                </c:pt>
                <c:pt idx="1">
                  <c:v>Not Admitted</c:v>
                </c:pt>
              </c:strCache>
            </c:strRef>
          </c:cat>
          <c:val>
            <c:numRef>
              <c:f>'pivot report'!$O$16:$O$17</c:f>
              <c:numCache>
                <c:formatCode>0.00%</c:formatCode>
                <c:ptCount val="2"/>
                <c:pt idx="0">
                  <c:v>0.47826086956521741</c:v>
                </c:pt>
                <c:pt idx="1">
                  <c:v>0.52173913043478259</c:v>
                </c:pt>
              </c:numCache>
            </c:numRef>
          </c:val>
          <c:extLst>
            <c:ext xmlns:c16="http://schemas.microsoft.com/office/drawing/2014/chart" uri="{C3380CC4-5D6E-409C-BE32-E72D297353CC}">
              <c16:uniqueId val="{00000001-D792-47D5-B5E8-DE25919EAC1D}"/>
            </c:ext>
          </c:extLst>
        </c:ser>
        <c:dLbls>
          <c:showLegendKey val="0"/>
          <c:showVal val="0"/>
          <c:showCatName val="0"/>
          <c:showSerName val="0"/>
          <c:showPercent val="0"/>
          <c:showBubbleSize val="0"/>
        </c:dLbls>
        <c:gapWidth val="96"/>
        <c:axId val="785140496"/>
        <c:axId val="785141328"/>
      </c:barChart>
      <c:catAx>
        <c:axId val="785140496"/>
        <c:scaling>
          <c:orientation val="minMax"/>
        </c:scaling>
        <c:delete val="1"/>
        <c:axPos val="l"/>
        <c:numFmt formatCode="General" sourceLinked="1"/>
        <c:majorTickMark val="none"/>
        <c:minorTickMark val="none"/>
        <c:tickLblPos val="nextTo"/>
        <c:crossAx val="785141328"/>
        <c:crosses val="autoZero"/>
        <c:auto val="1"/>
        <c:lblAlgn val="ctr"/>
        <c:lblOffset val="100"/>
        <c:noMultiLvlLbl val="0"/>
      </c:catAx>
      <c:valAx>
        <c:axId val="785141328"/>
        <c:scaling>
          <c:orientation val="minMax"/>
        </c:scaling>
        <c:delete val="1"/>
        <c:axPos val="b"/>
        <c:numFmt formatCode="0" sourceLinked="1"/>
        <c:majorTickMark val="none"/>
        <c:minorTickMark val="none"/>
        <c:tickLblPos val="nextTo"/>
        <c:crossAx val="785140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[Aman.xlsx]pivot report!PivotTable4</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Patients in 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960955883101934E-2"/>
          <c:y val="6.1441504784696711E-2"/>
          <c:w val="0.93514448918066606"/>
          <c:h val="0.86289191133071652"/>
        </c:manualLayout>
      </c:layout>
      <c:areaChart>
        <c:grouping val="standard"/>
        <c:varyColors val="0"/>
        <c:ser>
          <c:idx val="0"/>
          <c:order val="0"/>
          <c:tx>
            <c:strRef>
              <c:f>'pivot report'!$C$6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report'!$B$7:$B$24</c:f>
              <c:strCache>
                <c:ptCount val="17"/>
                <c:pt idx="0">
                  <c:v>1-Jan</c:v>
                </c:pt>
                <c:pt idx="1">
                  <c:v>2-Jan</c:v>
                </c:pt>
                <c:pt idx="2">
                  <c:v>3-Jan</c:v>
                </c:pt>
                <c:pt idx="3">
                  <c:v>7-Jan</c:v>
                </c:pt>
                <c:pt idx="4">
                  <c:v>8-Jan</c:v>
                </c:pt>
                <c:pt idx="5">
                  <c:v>9-Jan</c:v>
                </c:pt>
                <c:pt idx="6">
                  <c:v>10-Jan</c:v>
                </c:pt>
                <c:pt idx="7">
                  <c:v>12-Jan</c:v>
                </c:pt>
                <c:pt idx="8">
                  <c:v>13-Jan</c:v>
                </c:pt>
                <c:pt idx="9">
                  <c:v>14-Jan</c:v>
                </c:pt>
                <c:pt idx="10">
                  <c:v>15-Jan</c:v>
                </c:pt>
                <c:pt idx="11">
                  <c:v>17-Jan</c:v>
                </c:pt>
                <c:pt idx="12">
                  <c:v>19-Jan</c:v>
                </c:pt>
                <c:pt idx="13">
                  <c:v>20-Jan</c:v>
                </c:pt>
                <c:pt idx="14">
                  <c:v>21-Jan</c:v>
                </c:pt>
                <c:pt idx="15">
                  <c:v>27-Jan</c:v>
                </c:pt>
                <c:pt idx="16">
                  <c:v>29-Jan</c:v>
                </c:pt>
              </c:strCache>
            </c:strRef>
          </c:cat>
          <c:val>
            <c:numRef>
              <c:f>'pivot report'!$C$7:$C$24</c:f>
              <c:numCache>
                <c:formatCode>General</c:formatCode>
                <c:ptCount val="17"/>
                <c:pt idx="0">
                  <c:v>2</c:v>
                </c:pt>
                <c:pt idx="1">
                  <c:v>1</c:v>
                </c:pt>
                <c:pt idx="2">
                  <c:v>1</c:v>
                </c:pt>
                <c:pt idx="3">
                  <c:v>1</c:v>
                </c:pt>
                <c:pt idx="4">
                  <c:v>2</c:v>
                </c:pt>
                <c:pt idx="5">
                  <c:v>2</c:v>
                </c:pt>
                <c:pt idx="6">
                  <c:v>1</c:v>
                </c:pt>
                <c:pt idx="7">
                  <c:v>2</c:v>
                </c:pt>
                <c:pt idx="8">
                  <c:v>1</c:v>
                </c:pt>
                <c:pt idx="9">
                  <c:v>1</c:v>
                </c:pt>
                <c:pt idx="10">
                  <c:v>1</c:v>
                </c:pt>
                <c:pt idx="11">
                  <c:v>2</c:v>
                </c:pt>
                <c:pt idx="12">
                  <c:v>1</c:v>
                </c:pt>
                <c:pt idx="13">
                  <c:v>1</c:v>
                </c:pt>
                <c:pt idx="14">
                  <c:v>1</c:v>
                </c:pt>
                <c:pt idx="15">
                  <c:v>1</c:v>
                </c:pt>
                <c:pt idx="16">
                  <c:v>2</c:v>
                </c:pt>
              </c:numCache>
            </c:numRef>
          </c:val>
          <c:extLst>
            <c:ext xmlns:c16="http://schemas.microsoft.com/office/drawing/2014/chart" uri="{C3380CC4-5D6E-409C-BE32-E72D297353CC}">
              <c16:uniqueId val="{00000000-4B86-472E-A5B4-65D0C4DF811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46660079"/>
        <c:axId val="646651759"/>
      </c:areaChart>
      <c:catAx>
        <c:axId val="6466600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46651759"/>
        <c:crosses val="autoZero"/>
        <c:auto val="1"/>
        <c:lblAlgn val="ctr"/>
        <c:lblOffset val="100"/>
        <c:noMultiLvlLbl val="0"/>
      </c:catAx>
      <c:valAx>
        <c:axId val="646651759"/>
        <c:scaling>
          <c:orientation val="minMax"/>
        </c:scaling>
        <c:delete val="1"/>
        <c:axPos val="l"/>
        <c:numFmt formatCode="General" sourceLinked="1"/>
        <c:majorTickMark val="out"/>
        <c:minorTickMark val="none"/>
        <c:tickLblPos val="nextTo"/>
        <c:crossAx val="6466600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[Aman.xlsx]pivot report!PivotTable5</c:name>
    <c:fmtId val="1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a:t>
            </a:r>
            <a:r>
              <a:rPr lang="en-US" baseline="0"/>
              <a:t> Wait time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report'!$G$5:$G$22</c:f>
              <c:strCache>
                <c:ptCount val="17"/>
                <c:pt idx="0">
                  <c:v>1-Jan</c:v>
                </c:pt>
                <c:pt idx="1">
                  <c:v>2-Jan</c:v>
                </c:pt>
                <c:pt idx="2">
                  <c:v>3-Jan</c:v>
                </c:pt>
                <c:pt idx="3">
                  <c:v>7-Jan</c:v>
                </c:pt>
                <c:pt idx="4">
                  <c:v>8-Jan</c:v>
                </c:pt>
                <c:pt idx="5">
                  <c:v>9-Jan</c:v>
                </c:pt>
                <c:pt idx="6">
                  <c:v>10-Jan</c:v>
                </c:pt>
                <c:pt idx="7">
                  <c:v>12-Jan</c:v>
                </c:pt>
                <c:pt idx="8">
                  <c:v>13-Jan</c:v>
                </c:pt>
                <c:pt idx="9">
                  <c:v>14-Jan</c:v>
                </c:pt>
                <c:pt idx="10">
                  <c:v>15-Jan</c:v>
                </c:pt>
                <c:pt idx="11">
                  <c:v>17-Jan</c:v>
                </c:pt>
                <c:pt idx="12">
                  <c:v>19-Jan</c:v>
                </c:pt>
                <c:pt idx="13">
                  <c:v>20-Jan</c:v>
                </c:pt>
                <c:pt idx="14">
                  <c:v>21-Jan</c:v>
                </c:pt>
                <c:pt idx="15">
                  <c:v>27-Jan</c:v>
                </c:pt>
                <c:pt idx="16">
                  <c:v>29-Jan</c:v>
                </c:pt>
              </c:strCache>
            </c:strRef>
          </c:cat>
          <c:val>
            <c:numRef>
              <c:f>'pivot report'!$H$5:$H$22</c:f>
              <c:numCache>
                <c:formatCode>0.00</c:formatCode>
                <c:ptCount val="17"/>
                <c:pt idx="0">
                  <c:v>118.5</c:v>
                </c:pt>
                <c:pt idx="1">
                  <c:v>37</c:v>
                </c:pt>
                <c:pt idx="2">
                  <c:v>31</c:v>
                </c:pt>
                <c:pt idx="3">
                  <c:v>108</c:v>
                </c:pt>
                <c:pt idx="4">
                  <c:v>135.5</c:v>
                </c:pt>
                <c:pt idx="5">
                  <c:v>155</c:v>
                </c:pt>
                <c:pt idx="6">
                  <c:v>164</c:v>
                </c:pt>
                <c:pt idx="7">
                  <c:v>123</c:v>
                </c:pt>
                <c:pt idx="8">
                  <c:v>71</c:v>
                </c:pt>
                <c:pt idx="9">
                  <c:v>40</c:v>
                </c:pt>
                <c:pt idx="10">
                  <c:v>94</c:v>
                </c:pt>
                <c:pt idx="11">
                  <c:v>191</c:v>
                </c:pt>
                <c:pt idx="12">
                  <c:v>199</c:v>
                </c:pt>
                <c:pt idx="13">
                  <c:v>119</c:v>
                </c:pt>
                <c:pt idx="14">
                  <c:v>85</c:v>
                </c:pt>
                <c:pt idx="15">
                  <c:v>183</c:v>
                </c:pt>
                <c:pt idx="16">
                  <c:v>78</c:v>
                </c:pt>
              </c:numCache>
            </c:numRef>
          </c:val>
          <c:extLst>
            <c:ext xmlns:c16="http://schemas.microsoft.com/office/drawing/2014/chart" uri="{C3380CC4-5D6E-409C-BE32-E72D297353CC}">
              <c16:uniqueId val="{00000000-C71E-4823-9A28-E38141D03DE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35051807"/>
        <c:axId val="635052223"/>
      </c:areaChart>
      <c:catAx>
        <c:axId val="6350518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5052223"/>
        <c:crosses val="autoZero"/>
        <c:auto val="1"/>
        <c:lblAlgn val="ctr"/>
        <c:lblOffset val="100"/>
        <c:noMultiLvlLbl val="0"/>
      </c:catAx>
      <c:valAx>
        <c:axId val="635052223"/>
        <c:scaling>
          <c:orientation val="minMax"/>
        </c:scaling>
        <c:delete val="1"/>
        <c:axPos val="l"/>
        <c:numFmt formatCode="0.00" sourceLinked="1"/>
        <c:majorTickMark val="out"/>
        <c:minorTickMark val="none"/>
        <c:tickLblPos val="nextTo"/>
        <c:crossAx val="6350518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[Aman.xlsx]pivot report!PivotTable6</c:name>
    <c:fmtId val="2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satisfaction</a:t>
            </a:r>
            <a:r>
              <a:rPr lang="en-US" baseline="0"/>
              <a:t> score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report'!$J$5:$J$22</c:f>
              <c:strCache>
                <c:ptCount val="17"/>
                <c:pt idx="0">
                  <c:v>1-Jan</c:v>
                </c:pt>
                <c:pt idx="1">
                  <c:v>2-Jan</c:v>
                </c:pt>
                <c:pt idx="2">
                  <c:v>3-Jan</c:v>
                </c:pt>
                <c:pt idx="3">
                  <c:v>7-Jan</c:v>
                </c:pt>
                <c:pt idx="4">
                  <c:v>8-Jan</c:v>
                </c:pt>
                <c:pt idx="5">
                  <c:v>9-Jan</c:v>
                </c:pt>
                <c:pt idx="6">
                  <c:v>10-Jan</c:v>
                </c:pt>
                <c:pt idx="7">
                  <c:v>12-Jan</c:v>
                </c:pt>
                <c:pt idx="8">
                  <c:v>13-Jan</c:v>
                </c:pt>
                <c:pt idx="9">
                  <c:v>14-Jan</c:v>
                </c:pt>
                <c:pt idx="10">
                  <c:v>15-Jan</c:v>
                </c:pt>
                <c:pt idx="11">
                  <c:v>17-Jan</c:v>
                </c:pt>
                <c:pt idx="12">
                  <c:v>19-Jan</c:v>
                </c:pt>
                <c:pt idx="13">
                  <c:v>20-Jan</c:v>
                </c:pt>
                <c:pt idx="14">
                  <c:v>21-Jan</c:v>
                </c:pt>
                <c:pt idx="15">
                  <c:v>27-Jan</c:v>
                </c:pt>
                <c:pt idx="16">
                  <c:v>29-Jan</c:v>
                </c:pt>
              </c:strCache>
            </c:strRef>
          </c:cat>
          <c:val>
            <c:numRef>
              <c:f>'pivot report'!$K$5:$K$22</c:f>
              <c:numCache>
                <c:formatCode>0.00</c:formatCode>
                <c:ptCount val="17"/>
                <c:pt idx="0">
                  <c:v>4.5999999999999996</c:v>
                </c:pt>
                <c:pt idx="1">
                  <c:v>5.3</c:v>
                </c:pt>
                <c:pt idx="2">
                  <c:v>2.5</c:v>
                </c:pt>
                <c:pt idx="3">
                  <c:v>4.0999999999999996</c:v>
                </c:pt>
                <c:pt idx="4">
                  <c:v>5.9</c:v>
                </c:pt>
                <c:pt idx="5">
                  <c:v>3.8</c:v>
                </c:pt>
                <c:pt idx="6">
                  <c:v>5.9</c:v>
                </c:pt>
                <c:pt idx="7">
                  <c:v>4.9000000000000004</c:v>
                </c:pt>
                <c:pt idx="8">
                  <c:v>3.4</c:v>
                </c:pt>
                <c:pt idx="9">
                  <c:v>6.4</c:v>
                </c:pt>
                <c:pt idx="10">
                  <c:v>9.4</c:v>
                </c:pt>
                <c:pt idx="11">
                  <c:v>4.2</c:v>
                </c:pt>
                <c:pt idx="12">
                  <c:v>6.6</c:v>
                </c:pt>
                <c:pt idx="13">
                  <c:v>8.9</c:v>
                </c:pt>
                <c:pt idx="14">
                  <c:v>4.3</c:v>
                </c:pt>
                <c:pt idx="15">
                  <c:v>7.6</c:v>
                </c:pt>
                <c:pt idx="16">
                  <c:v>4</c:v>
                </c:pt>
              </c:numCache>
            </c:numRef>
          </c:val>
          <c:extLst>
            <c:ext xmlns:c16="http://schemas.microsoft.com/office/drawing/2014/chart" uri="{C3380CC4-5D6E-409C-BE32-E72D297353CC}">
              <c16:uniqueId val="{00000000-1FC4-4306-AACA-136B2AE3108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71841168"/>
        <c:axId val="671838672"/>
      </c:areaChart>
      <c:catAx>
        <c:axId val="6718411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71838672"/>
        <c:crosses val="autoZero"/>
        <c:auto val="1"/>
        <c:lblAlgn val="ctr"/>
        <c:lblOffset val="100"/>
        <c:noMultiLvlLbl val="0"/>
      </c:catAx>
      <c:valAx>
        <c:axId val="671838672"/>
        <c:scaling>
          <c:orientation val="minMax"/>
        </c:scaling>
        <c:delete val="1"/>
        <c:axPos val="l"/>
        <c:numFmt formatCode="0.00" sourceLinked="1"/>
        <c:majorTickMark val="out"/>
        <c:minorTickMark val="none"/>
        <c:tickLblPos val="nextTo"/>
        <c:crossAx val="6718411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2.xml"/><Relationship Id="rId18" Type="http://schemas.openxmlformats.org/officeDocument/2006/relationships/chart" Target="../charts/chart5.xml"/><Relationship Id="rId3" Type="http://schemas.openxmlformats.org/officeDocument/2006/relationships/image" Target="../media/image2.jpeg"/><Relationship Id="rId7" Type="http://schemas.openxmlformats.org/officeDocument/2006/relationships/image" Target="../media/image6.svg"/><Relationship Id="rId12" Type="http://schemas.openxmlformats.org/officeDocument/2006/relationships/hyperlink" Target="#'Avg waitime'!A1"/><Relationship Id="rId17" Type="http://schemas.openxmlformats.org/officeDocument/2006/relationships/chart" Target="../charts/chart4.xml"/><Relationship Id="rId2" Type="http://schemas.openxmlformats.org/officeDocument/2006/relationships/hyperlink" Target="https://www.rawpixel.com/image/260752/doctors-operation-room" TargetMode="External"/><Relationship Id="rId16" Type="http://schemas.openxmlformats.org/officeDocument/2006/relationships/image" Target="../media/image9.emf"/><Relationship Id="rId20" Type="http://schemas.openxmlformats.org/officeDocument/2006/relationships/chart" Target="../charts/chart7.xml"/><Relationship Id="rId1" Type="http://schemas.openxmlformats.org/officeDocument/2006/relationships/image" Target="../media/image1.jpeg"/><Relationship Id="rId6" Type="http://schemas.openxmlformats.org/officeDocument/2006/relationships/image" Target="../media/image5.png"/><Relationship Id="rId11" Type="http://schemas.openxmlformats.org/officeDocument/2006/relationships/chart" Target="../charts/chart1.xml"/><Relationship Id="rId5" Type="http://schemas.openxmlformats.org/officeDocument/2006/relationships/image" Target="../media/image4.svg"/><Relationship Id="rId15" Type="http://schemas.openxmlformats.org/officeDocument/2006/relationships/chart" Target="../charts/chart3.xml"/><Relationship Id="rId10" Type="http://schemas.openxmlformats.org/officeDocument/2006/relationships/hyperlink" Target="#'Daily Patient ER'!A1"/><Relationship Id="rId19" Type="http://schemas.openxmlformats.org/officeDocument/2006/relationships/chart" Target="../charts/chart6.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hyperlink" Target="#Sheet2!A1"/></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absolute">
    <xdr:from>
      <xdr:col>0</xdr:col>
      <xdr:colOff>103798</xdr:colOff>
      <xdr:row>0</xdr:row>
      <xdr:rowOff>48846</xdr:rowOff>
    </xdr:from>
    <xdr:to>
      <xdr:col>7</xdr:col>
      <xdr:colOff>238125</xdr:colOff>
      <xdr:row>4</xdr:row>
      <xdr:rowOff>18319</xdr:rowOff>
    </xdr:to>
    <xdr:sp macro="" textlink="">
      <xdr:nvSpPr>
        <xdr:cNvPr id="2" name="Rectangle: Rounded Corners 1">
          <a:extLst>
            <a:ext uri="{FF2B5EF4-FFF2-40B4-BE49-F238E27FC236}">
              <a16:creationId xmlns:a16="http://schemas.microsoft.com/office/drawing/2014/main" id="{9C0FB858-8509-47B5-9E5C-99DC6848D6C7}"/>
            </a:ext>
          </a:extLst>
        </xdr:cNvPr>
        <xdr:cNvSpPr/>
      </xdr:nvSpPr>
      <xdr:spPr>
        <a:xfrm>
          <a:off x="103798" y="48846"/>
          <a:ext cx="4408365" cy="702165"/>
        </a:xfrm>
        <a:prstGeom prst="roundRect">
          <a:avLst>
            <a:gd name="adj" fmla="val 6232"/>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103797</xdr:colOff>
      <xdr:row>4</xdr:row>
      <xdr:rowOff>67164</xdr:rowOff>
    </xdr:from>
    <xdr:to>
      <xdr:col>7</xdr:col>
      <xdr:colOff>238124</xdr:colOff>
      <xdr:row>8</xdr:row>
      <xdr:rowOff>97693</xdr:rowOff>
    </xdr:to>
    <xdr:grpSp>
      <xdr:nvGrpSpPr>
        <xdr:cNvPr id="12" name="Group 11">
          <a:extLst>
            <a:ext uri="{FF2B5EF4-FFF2-40B4-BE49-F238E27FC236}">
              <a16:creationId xmlns:a16="http://schemas.microsoft.com/office/drawing/2014/main" id="{635AF066-BBBB-487B-81F2-0BB8A9EB7ACC}"/>
            </a:ext>
          </a:extLst>
        </xdr:cNvPr>
        <xdr:cNvGrpSpPr/>
      </xdr:nvGrpSpPr>
      <xdr:grpSpPr>
        <a:xfrm>
          <a:off x="103797" y="795691"/>
          <a:ext cx="4407040" cy="759056"/>
          <a:chOff x="103797" y="830386"/>
          <a:chExt cx="4408365" cy="732692"/>
        </a:xfrm>
      </xdr:grpSpPr>
      <xdr:sp macro="" textlink="">
        <xdr:nvSpPr>
          <xdr:cNvPr id="3" name="Rectangle: Rounded Corners 2">
            <a:extLst>
              <a:ext uri="{FF2B5EF4-FFF2-40B4-BE49-F238E27FC236}">
                <a16:creationId xmlns:a16="http://schemas.microsoft.com/office/drawing/2014/main" id="{974BD7E9-A5F5-45FF-922B-70BB61A92F68}"/>
              </a:ext>
            </a:extLst>
          </xdr:cNvPr>
          <xdr:cNvSpPr/>
        </xdr:nvSpPr>
        <xdr:spPr>
          <a:xfrm>
            <a:off x="103797" y="830386"/>
            <a:ext cx="1416540" cy="732692"/>
          </a:xfrm>
          <a:prstGeom prst="roundRect">
            <a:avLst>
              <a:gd name="adj" fmla="val 78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037D5BE8-1B36-41AD-B7EB-72AC8182AF5A}"/>
              </a:ext>
            </a:extLst>
          </xdr:cNvPr>
          <xdr:cNvSpPr/>
        </xdr:nvSpPr>
        <xdr:spPr>
          <a:xfrm>
            <a:off x="1569184" y="830386"/>
            <a:ext cx="1440960" cy="732692"/>
          </a:xfrm>
          <a:prstGeom prst="roundRect">
            <a:avLst>
              <a:gd name="adj" fmla="val 4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69FB1CE-73F6-4201-A501-8D396F4E4DE0}"/>
              </a:ext>
            </a:extLst>
          </xdr:cNvPr>
          <xdr:cNvSpPr/>
        </xdr:nvSpPr>
        <xdr:spPr>
          <a:xfrm>
            <a:off x="3052885" y="830386"/>
            <a:ext cx="1459277" cy="732692"/>
          </a:xfrm>
          <a:prstGeom prst="roundRect">
            <a:avLst>
              <a:gd name="adj" fmla="val 62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editAs="absolute">
    <xdr:from>
      <xdr:col>7</xdr:col>
      <xdr:colOff>286973</xdr:colOff>
      <xdr:row>0</xdr:row>
      <xdr:rowOff>54953</xdr:rowOff>
    </xdr:from>
    <xdr:to>
      <xdr:col>9</xdr:col>
      <xdr:colOff>140433</xdr:colOff>
      <xdr:row>4</xdr:row>
      <xdr:rowOff>18318</xdr:rowOff>
    </xdr:to>
    <xdr:sp macro="" textlink="">
      <xdr:nvSpPr>
        <xdr:cNvPr id="9" name="Rectangle: Rounded Corners 8">
          <a:extLst>
            <a:ext uri="{FF2B5EF4-FFF2-40B4-BE49-F238E27FC236}">
              <a16:creationId xmlns:a16="http://schemas.microsoft.com/office/drawing/2014/main" id="{33EB42AF-78CB-43B2-9509-56DBCDBBA2D4}"/>
            </a:ext>
          </a:extLst>
        </xdr:cNvPr>
        <xdr:cNvSpPr/>
      </xdr:nvSpPr>
      <xdr:spPr>
        <a:xfrm>
          <a:off x="4561011" y="54953"/>
          <a:ext cx="1074614" cy="696057"/>
        </a:xfrm>
        <a:prstGeom prst="roundRect">
          <a:avLst>
            <a:gd name="adj" fmla="val 883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103797</xdr:colOff>
      <xdr:row>8</xdr:row>
      <xdr:rowOff>140433</xdr:rowOff>
    </xdr:from>
    <xdr:to>
      <xdr:col>7</xdr:col>
      <xdr:colOff>225914</xdr:colOff>
      <xdr:row>11</xdr:row>
      <xdr:rowOff>146538</xdr:rowOff>
    </xdr:to>
    <xdr:sp macro="" textlink="">
      <xdr:nvSpPr>
        <xdr:cNvPr id="10" name="Rectangle: Rounded Corners 9">
          <a:extLst>
            <a:ext uri="{FF2B5EF4-FFF2-40B4-BE49-F238E27FC236}">
              <a16:creationId xmlns:a16="http://schemas.microsoft.com/office/drawing/2014/main" id="{BC0D267F-0F3D-4461-8E93-F8E43712B36C}"/>
            </a:ext>
          </a:extLst>
        </xdr:cNvPr>
        <xdr:cNvSpPr/>
      </xdr:nvSpPr>
      <xdr:spPr>
        <a:xfrm>
          <a:off x="103797" y="1605818"/>
          <a:ext cx="4396155" cy="555624"/>
        </a:xfrm>
        <a:prstGeom prst="roundRect">
          <a:avLst>
            <a:gd name="adj" fmla="val 677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103797</xdr:colOff>
      <xdr:row>12</xdr:row>
      <xdr:rowOff>36635</xdr:rowOff>
    </xdr:from>
    <xdr:to>
      <xdr:col>7</xdr:col>
      <xdr:colOff>225914</xdr:colOff>
      <xdr:row>19</xdr:row>
      <xdr:rowOff>140433</xdr:rowOff>
    </xdr:to>
    <xdr:sp macro="" textlink="">
      <xdr:nvSpPr>
        <xdr:cNvPr id="11" name="Rectangle: Rounded Corners 10">
          <a:extLst>
            <a:ext uri="{FF2B5EF4-FFF2-40B4-BE49-F238E27FC236}">
              <a16:creationId xmlns:a16="http://schemas.microsoft.com/office/drawing/2014/main" id="{F010B9CC-6E58-48E0-946B-EE2127F0DE3B}"/>
            </a:ext>
          </a:extLst>
        </xdr:cNvPr>
        <xdr:cNvSpPr/>
      </xdr:nvSpPr>
      <xdr:spPr>
        <a:xfrm>
          <a:off x="103797" y="2234712"/>
          <a:ext cx="4396155" cy="1386009"/>
        </a:xfrm>
        <a:prstGeom prst="roundRect">
          <a:avLst>
            <a:gd name="adj" fmla="val 4773"/>
          </a:avLst>
        </a:prstGeom>
        <a:solidFill>
          <a:srgbClr val="00B0F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232018</xdr:colOff>
      <xdr:row>0</xdr:row>
      <xdr:rowOff>54950</xdr:rowOff>
    </xdr:from>
    <xdr:to>
      <xdr:col>11</xdr:col>
      <xdr:colOff>586153</xdr:colOff>
      <xdr:row>9</xdr:row>
      <xdr:rowOff>109903</xdr:rowOff>
    </xdr:to>
    <xdr:sp macro="" textlink="">
      <xdr:nvSpPr>
        <xdr:cNvPr id="13" name="Rectangle: Rounded Corners 12">
          <a:extLst>
            <a:ext uri="{FF2B5EF4-FFF2-40B4-BE49-F238E27FC236}">
              <a16:creationId xmlns:a16="http://schemas.microsoft.com/office/drawing/2014/main" id="{BCDC9A4A-BB3D-46E3-B29B-140776D9182C}"/>
            </a:ext>
          </a:extLst>
        </xdr:cNvPr>
        <xdr:cNvSpPr/>
      </xdr:nvSpPr>
      <xdr:spPr>
        <a:xfrm>
          <a:off x="5727210" y="54950"/>
          <a:ext cx="1575289" cy="1703511"/>
        </a:xfrm>
        <a:prstGeom prst="roundRect">
          <a:avLst>
            <a:gd name="adj" fmla="val 5313"/>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299183</xdr:colOff>
      <xdr:row>4</xdr:row>
      <xdr:rowOff>67164</xdr:rowOff>
    </xdr:from>
    <xdr:to>
      <xdr:col>9</xdr:col>
      <xdr:colOff>146539</xdr:colOff>
      <xdr:row>19</xdr:row>
      <xdr:rowOff>146539</xdr:rowOff>
    </xdr:to>
    <xdr:sp macro="" textlink="">
      <xdr:nvSpPr>
        <xdr:cNvPr id="14" name="Rectangle: Rounded Corners 13">
          <a:extLst>
            <a:ext uri="{FF2B5EF4-FFF2-40B4-BE49-F238E27FC236}">
              <a16:creationId xmlns:a16="http://schemas.microsoft.com/office/drawing/2014/main" id="{BAF46837-9994-4290-92C2-018DD5E82C66}"/>
            </a:ext>
          </a:extLst>
        </xdr:cNvPr>
        <xdr:cNvSpPr/>
      </xdr:nvSpPr>
      <xdr:spPr>
        <a:xfrm>
          <a:off x="4573221" y="799856"/>
          <a:ext cx="1068510" cy="2826971"/>
        </a:xfrm>
        <a:prstGeom prst="roundRect">
          <a:avLst>
            <a:gd name="adj" fmla="val 569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12</xdr:col>
      <xdr:colOff>36634</xdr:colOff>
      <xdr:row>0</xdr:row>
      <xdr:rowOff>61059</xdr:rowOff>
    </xdr:from>
    <xdr:to>
      <xdr:col>14</xdr:col>
      <xdr:colOff>341923</xdr:colOff>
      <xdr:row>9</xdr:row>
      <xdr:rowOff>103798</xdr:rowOff>
    </xdr:to>
    <xdr:sp macro="" textlink="">
      <xdr:nvSpPr>
        <xdr:cNvPr id="16" name="Rectangle: Rounded Corners 15">
          <a:extLst>
            <a:ext uri="{FF2B5EF4-FFF2-40B4-BE49-F238E27FC236}">
              <a16:creationId xmlns:a16="http://schemas.microsoft.com/office/drawing/2014/main" id="{57D7FC16-0A04-4085-894A-28BBE0DC90CB}"/>
            </a:ext>
          </a:extLst>
        </xdr:cNvPr>
        <xdr:cNvSpPr/>
      </xdr:nvSpPr>
      <xdr:spPr>
        <a:xfrm>
          <a:off x="7363557" y="61059"/>
          <a:ext cx="1526443" cy="1691297"/>
        </a:xfrm>
        <a:prstGeom prst="roundRect">
          <a:avLst>
            <a:gd name="adj" fmla="val 5313"/>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134328</xdr:colOff>
      <xdr:row>0</xdr:row>
      <xdr:rowOff>170962</xdr:rowOff>
    </xdr:from>
    <xdr:to>
      <xdr:col>6</xdr:col>
      <xdr:colOff>152644</xdr:colOff>
      <xdr:row>3</xdr:row>
      <xdr:rowOff>42741</xdr:rowOff>
    </xdr:to>
    <xdr:sp macro="" textlink="">
      <xdr:nvSpPr>
        <xdr:cNvPr id="17" name="TextBox 16">
          <a:extLst>
            <a:ext uri="{FF2B5EF4-FFF2-40B4-BE49-F238E27FC236}">
              <a16:creationId xmlns:a16="http://schemas.microsoft.com/office/drawing/2014/main" id="{1C2A2137-13DC-4266-AE77-0E621E1442F5}"/>
            </a:ext>
          </a:extLst>
        </xdr:cNvPr>
        <xdr:cNvSpPr txBox="1"/>
      </xdr:nvSpPr>
      <xdr:spPr>
        <a:xfrm>
          <a:off x="744905" y="170962"/>
          <a:ext cx="3071201" cy="42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latin typeface="Franklin Gothic Medium" panose="020B0603020102020204" pitchFamily="34" charset="0"/>
            </a:rPr>
            <a:t>Hospital</a:t>
          </a:r>
          <a:r>
            <a:rPr lang="en-IN" sz="1400" baseline="0">
              <a:latin typeface="Franklin Gothic Medium" panose="020B0603020102020204" pitchFamily="34" charset="0"/>
            </a:rPr>
            <a:t> Emergency Room Dashboard</a:t>
          </a:r>
          <a:endParaRPr lang="en-IN" sz="1400">
            <a:latin typeface="Franklin Gothic Medium" panose="020B0603020102020204" pitchFamily="34" charset="0"/>
          </a:endParaRPr>
        </a:p>
      </xdr:txBody>
    </xdr:sp>
    <xdr:clientData/>
  </xdr:twoCellAnchor>
  <xdr:twoCellAnchor editAs="oneCell">
    <xdr:from>
      <xdr:col>0</xdr:col>
      <xdr:colOff>140433</xdr:colOff>
      <xdr:row>0</xdr:row>
      <xdr:rowOff>152644</xdr:rowOff>
    </xdr:from>
    <xdr:to>
      <xdr:col>1</xdr:col>
      <xdr:colOff>73269</xdr:colOff>
      <xdr:row>3</xdr:row>
      <xdr:rowOff>91585</xdr:rowOff>
    </xdr:to>
    <xdr:pic>
      <xdr:nvPicPr>
        <xdr:cNvPr id="24" name="Picture 23">
          <a:extLst>
            <a:ext uri="{FF2B5EF4-FFF2-40B4-BE49-F238E27FC236}">
              <a16:creationId xmlns:a16="http://schemas.microsoft.com/office/drawing/2014/main" id="{9189649D-9B52-4A63-A951-E66B6B16B7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40433" y="152644"/>
          <a:ext cx="543413" cy="488460"/>
        </a:xfrm>
        <a:prstGeom prst="rect">
          <a:avLst/>
        </a:prstGeom>
      </xdr:spPr>
    </xdr:pic>
    <xdr:clientData/>
  </xdr:twoCellAnchor>
  <xdr:twoCellAnchor editAs="oneCell">
    <xdr:from>
      <xdr:col>6</xdr:col>
      <xdr:colOff>299185</xdr:colOff>
      <xdr:row>0</xdr:row>
      <xdr:rowOff>140433</xdr:rowOff>
    </xdr:from>
    <xdr:to>
      <xdr:col>7</xdr:col>
      <xdr:colOff>195387</xdr:colOff>
      <xdr:row>3</xdr:row>
      <xdr:rowOff>85482</xdr:rowOff>
    </xdr:to>
    <xdr:pic>
      <xdr:nvPicPr>
        <xdr:cNvPr id="25" name="Picture 24">
          <a:extLst>
            <a:ext uri="{FF2B5EF4-FFF2-40B4-BE49-F238E27FC236}">
              <a16:creationId xmlns:a16="http://schemas.microsoft.com/office/drawing/2014/main" id="{C1589D55-4EAF-43FD-B84D-F96EC413A9D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962647" y="140433"/>
          <a:ext cx="506778" cy="494568"/>
        </a:xfrm>
        <a:prstGeom prst="rect">
          <a:avLst/>
        </a:prstGeom>
      </xdr:spPr>
    </xdr:pic>
    <xdr:clientData/>
  </xdr:twoCellAnchor>
  <xdr:oneCellAnchor>
    <xdr:from>
      <xdr:col>2</xdr:col>
      <xdr:colOff>36633</xdr:colOff>
      <xdr:row>2</xdr:row>
      <xdr:rowOff>30529</xdr:rowOff>
    </xdr:from>
    <xdr:ext cx="1886683" cy="268653"/>
    <xdr:sp macro="" textlink="">
      <xdr:nvSpPr>
        <xdr:cNvPr id="26" name="TextBox 25">
          <a:extLst>
            <a:ext uri="{FF2B5EF4-FFF2-40B4-BE49-F238E27FC236}">
              <a16:creationId xmlns:a16="http://schemas.microsoft.com/office/drawing/2014/main" id="{38FC236C-1C4B-4435-B6ED-D7FCF773CB4C}"/>
            </a:ext>
          </a:extLst>
        </xdr:cNvPr>
        <xdr:cNvSpPr txBox="1"/>
      </xdr:nvSpPr>
      <xdr:spPr>
        <a:xfrm>
          <a:off x="1257787" y="396875"/>
          <a:ext cx="1886683" cy="268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a:latin typeface="Century Gothic" panose="020B0502020202020204" pitchFamily="34" charset="0"/>
              <a:ea typeface="Yu Gothic UI" panose="020B0500000000000000" pitchFamily="34" charset="-128"/>
              <a:cs typeface="Segoe UI Semibold" panose="020B0702040204020203" pitchFamily="34" charset="0"/>
            </a:rPr>
            <a:t>Monthly Report</a:t>
          </a:r>
        </a:p>
      </xdr:txBody>
    </xdr:sp>
    <xdr:clientData/>
  </xdr:oneCellAnchor>
  <xdr:oneCellAnchor>
    <xdr:from>
      <xdr:col>0</xdr:col>
      <xdr:colOff>170962</xdr:colOff>
      <xdr:row>5</xdr:row>
      <xdr:rowOff>128223</xdr:rowOff>
    </xdr:from>
    <xdr:ext cx="1288318" cy="293076"/>
    <xdr:sp macro="" textlink="">
      <xdr:nvSpPr>
        <xdr:cNvPr id="20" name="TextBox 19">
          <a:extLst>
            <a:ext uri="{FF2B5EF4-FFF2-40B4-BE49-F238E27FC236}">
              <a16:creationId xmlns:a16="http://schemas.microsoft.com/office/drawing/2014/main" id="{E701FD27-0192-44A7-8555-8327AFB4D34E}"/>
            </a:ext>
          </a:extLst>
        </xdr:cNvPr>
        <xdr:cNvSpPr txBox="1"/>
      </xdr:nvSpPr>
      <xdr:spPr>
        <a:xfrm>
          <a:off x="170962" y="1044088"/>
          <a:ext cx="1288318" cy="293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800">
              <a:latin typeface="Yu Gothic UI" panose="020B0500000000000000" pitchFamily="34" charset="-128"/>
              <a:ea typeface="Yu Gothic UI" panose="020B0500000000000000" pitchFamily="34" charset="-128"/>
              <a:cs typeface="Segoe UI Semibold" panose="020B0702040204020203" pitchFamily="34" charset="0"/>
            </a:rPr>
            <a:t>No</a:t>
          </a:r>
          <a:r>
            <a:rPr lang="en-IN" sz="800" baseline="0">
              <a:latin typeface="Yu Gothic UI" panose="020B0500000000000000" pitchFamily="34" charset="-128"/>
              <a:ea typeface="Yu Gothic UI" panose="020B0500000000000000" pitchFamily="34" charset="-128"/>
              <a:cs typeface="Segoe UI Semibold" panose="020B0702040204020203" pitchFamily="34" charset="0"/>
            </a:rPr>
            <a:t> of Patient</a:t>
          </a:r>
          <a:endParaRPr lang="en-IN" sz="800">
            <a:latin typeface="Yu Gothic UI" panose="020B0500000000000000" pitchFamily="34" charset="-128"/>
            <a:ea typeface="Yu Gothic UI" panose="020B0500000000000000" pitchFamily="34" charset="-128"/>
            <a:cs typeface="Segoe UI Semibold" panose="020B0702040204020203" pitchFamily="34" charset="0"/>
          </a:endParaRPr>
        </a:p>
      </xdr:txBody>
    </xdr:sp>
    <xdr:clientData/>
  </xdr:oneCellAnchor>
  <xdr:oneCellAnchor>
    <xdr:from>
      <xdr:col>2</xdr:col>
      <xdr:colOff>408841</xdr:colOff>
      <xdr:row>5</xdr:row>
      <xdr:rowOff>121873</xdr:rowOff>
    </xdr:from>
    <xdr:ext cx="1288318" cy="293076"/>
    <xdr:sp macro="" textlink="">
      <xdr:nvSpPr>
        <xdr:cNvPr id="27" name="TextBox 26">
          <a:extLst>
            <a:ext uri="{FF2B5EF4-FFF2-40B4-BE49-F238E27FC236}">
              <a16:creationId xmlns:a16="http://schemas.microsoft.com/office/drawing/2014/main" id="{34EA4B73-FC58-4357-B257-845926C6AF13}"/>
            </a:ext>
          </a:extLst>
        </xdr:cNvPr>
        <xdr:cNvSpPr txBox="1"/>
      </xdr:nvSpPr>
      <xdr:spPr>
        <a:xfrm>
          <a:off x="1629995" y="1037738"/>
          <a:ext cx="1288318" cy="293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800">
              <a:latin typeface="Yu Gothic UI" panose="020B0500000000000000" pitchFamily="34" charset="-128"/>
              <a:ea typeface="Yu Gothic UI" panose="020B0500000000000000" pitchFamily="34" charset="-128"/>
              <a:cs typeface="Segoe UI Semibold" panose="020B0702040204020203" pitchFamily="34" charset="0"/>
            </a:rPr>
            <a:t>Average</a:t>
          </a:r>
          <a:r>
            <a:rPr lang="en-IN" sz="800" baseline="0">
              <a:latin typeface="Yu Gothic UI" panose="020B0500000000000000" pitchFamily="34" charset="-128"/>
              <a:ea typeface="Yu Gothic UI" panose="020B0500000000000000" pitchFamily="34" charset="-128"/>
              <a:cs typeface="Segoe UI Semibold" panose="020B0702040204020203" pitchFamily="34" charset="0"/>
            </a:rPr>
            <a:t> Wait Time</a:t>
          </a:r>
          <a:endParaRPr lang="en-IN" sz="800">
            <a:latin typeface="Yu Gothic UI" panose="020B0500000000000000" pitchFamily="34" charset="-128"/>
            <a:ea typeface="Yu Gothic UI" panose="020B0500000000000000" pitchFamily="34" charset="-128"/>
            <a:cs typeface="Segoe UI Semibold" panose="020B0702040204020203" pitchFamily="34" charset="0"/>
          </a:endParaRPr>
        </a:p>
      </xdr:txBody>
    </xdr:sp>
    <xdr:clientData/>
  </xdr:oneCellAnchor>
  <xdr:oneCellAnchor>
    <xdr:from>
      <xdr:col>5</xdr:col>
      <xdr:colOff>42740</xdr:colOff>
      <xdr:row>5</xdr:row>
      <xdr:rowOff>139947</xdr:rowOff>
    </xdr:from>
    <xdr:ext cx="1440961" cy="293076"/>
    <xdr:sp macro="" textlink="">
      <xdr:nvSpPr>
        <xdr:cNvPr id="28" name="TextBox 27">
          <a:extLst>
            <a:ext uri="{FF2B5EF4-FFF2-40B4-BE49-F238E27FC236}">
              <a16:creationId xmlns:a16="http://schemas.microsoft.com/office/drawing/2014/main" id="{2245188F-A149-43D3-AD25-6FE7F14720A8}"/>
            </a:ext>
          </a:extLst>
        </xdr:cNvPr>
        <xdr:cNvSpPr txBox="1"/>
      </xdr:nvSpPr>
      <xdr:spPr>
        <a:xfrm>
          <a:off x="3095625" y="1055812"/>
          <a:ext cx="1440961" cy="293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800">
              <a:latin typeface="Yu Gothic UI" panose="020B0500000000000000" pitchFamily="34" charset="-128"/>
              <a:ea typeface="Yu Gothic UI" panose="020B0500000000000000" pitchFamily="34" charset="-128"/>
              <a:cs typeface="Segoe UI Semibold" panose="020B0702040204020203" pitchFamily="34" charset="0"/>
            </a:rPr>
            <a:t>Patient</a:t>
          </a:r>
          <a:r>
            <a:rPr lang="en-IN" sz="800" baseline="0">
              <a:latin typeface="Yu Gothic UI" panose="020B0500000000000000" pitchFamily="34" charset="-128"/>
              <a:ea typeface="Yu Gothic UI" panose="020B0500000000000000" pitchFamily="34" charset="-128"/>
              <a:cs typeface="Segoe UI Semibold" panose="020B0702040204020203" pitchFamily="34" charset="0"/>
            </a:rPr>
            <a:t> Satisfaction Score</a:t>
          </a:r>
          <a:endParaRPr lang="en-IN" sz="800">
            <a:latin typeface="Yu Gothic UI" panose="020B0500000000000000" pitchFamily="34" charset="-128"/>
            <a:ea typeface="Yu Gothic UI" panose="020B0500000000000000" pitchFamily="34" charset="-128"/>
            <a:cs typeface="Segoe UI Semibold" panose="020B0702040204020203" pitchFamily="34" charset="0"/>
          </a:endParaRPr>
        </a:p>
      </xdr:txBody>
    </xdr:sp>
    <xdr:clientData/>
  </xdr:oneCellAnchor>
  <xdr:oneCellAnchor>
    <xdr:from>
      <xdr:col>0</xdr:col>
      <xdr:colOff>176823</xdr:colOff>
      <xdr:row>4</xdr:row>
      <xdr:rowOff>85482</xdr:rowOff>
    </xdr:from>
    <xdr:ext cx="1288318" cy="256198"/>
    <xdr:sp macro="" textlink="'pivot report'!A7">
      <xdr:nvSpPr>
        <xdr:cNvPr id="29" name="TextBox 28">
          <a:extLst>
            <a:ext uri="{FF2B5EF4-FFF2-40B4-BE49-F238E27FC236}">
              <a16:creationId xmlns:a16="http://schemas.microsoft.com/office/drawing/2014/main" id="{96549E04-25CF-4648-B913-76899609733A}"/>
            </a:ext>
          </a:extLst>
        </xdr:cNvPr>
        <xdr:cNvSpPr txBox="1"/>
      </xdr:nvSpPr>
      <xdr:spPr>
        <a:xfrm>
          <a:off x="176823" y="818174"/>
          <a:ext cx="1288318" cy="2561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86C27A7-D4B6-446E-8EE2-1714DC7A542F}" type="TxLink">
            <a:rPr lang="en-US" sz="1100" b="0" i="0" u="none" strike="noStrike">
              <a:solidFill>
                <a:srgbClr val="000000"/>
              </a:solidFill>
              <a:latin typeface="Calibri"/>
              <a:ea typeface="Calibri"/>
              <a:cs typeface="Calibri"/>
            </a:rPr>
            <a:pPr algn="ctr"/>
            <a:t>23</a:t>
          </a:fld>
          <a:endParaRPr lang="en-IN" sz="1100">
            <a:latin typeface="Yu Gothic UI" panose="020B0500000000000000" pitchFamily="34" charset="-128"/>
            <a:ea typeface="Yu Gothic UI" panose="020B0500000000000000" pitchFamily="34" charset="-128"/>
            <a:cs typeface="Segoe UI Semibold" panose="020B0702040204020203" pitchFamily="34" charset="0"/>
          </a:endParaRPr>
        </a:p>
      </xdr:txBody>
    </xdr:sp>
    <xdr:clientData/>
  </xdr:oneCellAnchor>
  <xdr:oneCellAnchor>
    <xdr:from>
      <xdr:col>2</xdr:col>
      <xdr:colOff>365858</xdr:colOff>
      <xdr:row>4</xdr:row>
      <xdr:rowOff>85238</xdr:rowOff>
    </xdr:from>
    <xdr:ext cx="1288318" cy="256198"/>
    <xdr:sp macro="" textlink="'pivot report'!A12">
      <xdr:nvSpPr>
        <xdr:cNvPr id="30" name="TextBox 29">
          <a:extLst>
            <a:ext uri="{FF2B5EF4-FFF2-40B4-BE49-F238E27FC236}">
              <a16:creationId xmlns:a16="http://schemas.microsoft.com/office/drawing/2014/main" id="{F11EA1C0-5BAD-4959-9B82-DC619F9F4D3E}"/>
            </a:ext>
          </a:extLst>
        </xdr:cNvPr>
        <xdr:cNvSpPr txBox="1"/>
      </xdr:nvSpPr>
      <xdr:spPr>
        <a:xfrm>
          <a:off x="1587012" y="817930"/>
          <a:ext cx="1288318" cy="2561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2624DDE-1F7A-4892-A097-537184B7FB35}" type="TxLink">
            <a:rPr lang="en-US" sz="1100" b="0" i="0" u="none" strike="noStrike">
              <a:solidFill>
                <a:srgbClr val="000000"/>
              </a:solidFill>
              <a:latin typeface="Calibri"/>
              <a:ea typeface="Calibri"/>
              <a:cs typeface="Calibri"/>
            </a:rPr>
            <a:pPr algn="ctr"/>
            <a:t>118.83</a:t>
          </a:fld>
          <a:endParaRPr lang="en-IN" sz="900">
            <a:latin typeface="Yu Gothic UI" panose="020B0500000000000000" pitchFamily="34" charset="-128"/>
            <a:ea typeface="Yu Gothic UI" panose="020B0500000000000000" pitchFamily="34" charset="-128"/>
            <a:cs typeface="Segoe UI Semibold" panose="020B0702040204020203" pitchFamily="34" charset="0"/>
          </a:endParaRPr>
        </a:p>
      </xdr:txBody>
    </xdr:sp>
    <xdr:clientData/>
  </xdr:oneCellAnchor>
  <xdr:oneCellAnchor>
    <xdr:from>
      <xdr:col>5</xdr:col>
      <xdr:colOff>103065</xdr:colOff>
      <xdr:row>4</xdr:row>
      <xdr:rowOff>91587</xdr:rowOff>
    </xdr:from>
    <xdr:ext cx="1288318" cy="267922"/>
    <xdr:sp macro="" textlink="'pivot report'!A15">
      <xdr:nvSpPr>
        <xdr:cNvPr id="31" name="TextBox 30">
          <a:extLst>
            <a:ext uri="{FF2B5EF4-FFF2-40B4-BE49-F238E27FC236}">
              <a16:creationId xmlns:a16="http://schemas.microsoft.com/office/drawing/2014/main" id="{1D68F4A7-4DD0-44E3-9A6E-22AA789FC5DE}"/>
            </a:ext>
          </a:extLst>
        </xdr:cNvPr>
        <xdr:cNvSpPr txBox="1"/>
      </xdr:nvSpPr>
      <xdr:spPr>
        <a:xfrm>
          <a:off x="3155950" y="824279"/>
          <a:ext cx="1288318" cy="267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7BEB8E1-1EA0-4E04-99C9-0B5187E6DD04}" type="TxLink">
            <a:rPr lang="en-US" sz="1100" b="0" i="0" u="none" strike="noStrike">
              <a:solidFill>
                <a:srgbClr val="000000"/>
              </a:solidFill>
              <a:latin typeface="Calibri"/>
              <a:ea typeface="Calibri"/>
              <a:cs typeface="Calibri"/>
            </a:rPr>
            <a:pPr algn="ctr"/>
            <a:t>5.18</a:t>
          </a:fld>
          <a:endParaRPr lang="en-IN" sz="900">
            <a:latin typeface="Yu Gothic UI" panose="020B0500000000000000" pitchFamily="34" charset="-128"/>
            <a:ea typeface="Yu Gothic UI" panose="020B0500000000000000" pitchFamily="34" charset="-128"/>
            <a:cs typeface="Segoe UI Semibold" panose="020B0702040204020203" pitchFamily="34" charset="0"/>
          </a:endParaRPr>
        </a:p>
      </xdr:txBody>
    </xdr:sp>
    <xdr:clientData/>
  </xdr:oneCellAnchor>
  <xdr:twoCellAnchor editAs="oneCell">
    <xdr:from>
      <xdr:col>2</xdr:col>
      <xdr:colOff>6105</xdr:colOff>
      <xdr:row>4</xdr:row>
      <xdr:rowOff>61058</xdr:rowOff>
    </xdr:from>
    <xdr:to>
      <xdr:col>2</xdr:col>
      <xdr:colOff>286970</xdr:colOff>
      <xdr:row>5</xdr:row>
      <xdr:rowOff>145073</xdr:rowOff>
    </xdr:to>
    <xdr:pic>
      <xdr:nvPicPr>
        <xdr:cNvPr id="15" name="Graphic 14" descr="User with solid fill">
          <a:extLst>
            <a:ext uri="{FF2B5EF4-FFF2-40B4-BE49-F238E27FC236}">
              <a16:creationId xmlns:a16="http://schemas.microsoft.com/office/drawing/2014/main" id="{A6E95DDF-60E8-4A74-B356-5A48211BF67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27259" y="793750"/>
          <a:ext cx="280865" cy="267188"/>
        </a:xfrm>
        <a:prstGeom prst="rect">
          <a:avLst/>
        </a:prstGeom>
      </xdr:spPr>
    </xdr:pic>
    <xdr:clientData/>
  </xdr:twoCellAnchor>
  <xdr:twoCellAnchor editAs="oneCell">
    <xdr:from>
      <xdr:col>4</xdr:col>
      <xdr:colOff>286973</xdr:colOff>
      <xdr:row>4</xdr:row>
      <xdr:rowOff>73269</xdr:rowOff>
    </xdr:from>
    <xdr:to>
      <xdr:col>4</xdr:col>
      <xdr:colOff>530985</xdr:colOff>
      <xdr:row>5</xdr:row>
      <xdr:rowOff>132862</xdr:rowOff>
    </xdr:to>
    <xdr:pic>
      <xdr:nvPicPr>
        <xdr:cNvPr id="32" name="Graphic 31" descr="Clock with solid fill">
          <a:extLst>
            <a:ext uri="{FF2B5EF4-FFF2-40B4-BE49-F238E27FC236}">
              <a16:creationId xmlns:a16="http://schemas.microsoft.com/office/drawing/2014/main" id="{A8B58719-BB2D-4938-8496-CBF6FEBF2E2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729281" y="805961"/>
          <a:ext cx="244012" cy="242766"/>
        </a:xfrm>
        <a:prstGeom prst="rect">
          <a:avLst/>
        </a:prstGeom>
      </xdr:spPr>
    </xdr:pic>
    <xdr:clientData/>
  </xdr:twoCellAnchor>
  <xdr:twoCellAnchor editAs="oneCell">
    <xdr:from>
      <xdr:col>6</xdr:col>
      <xdr:colOff>567836</xdr:colOff>
      <xdr:row>4</xdr:row>
      <xdr:rowOff>91586</xdr:rowOff>
    </xdr:from>
    <xdr:to>
      <xdr:col>7</xdr:col>
      <xdr:colOff>232019</xdr:colOff>
      <xdr:row>5</xdr:row>
      <xdr:rowOff>157284</xdr:rowOff>
    </xdr:to>
    <xdr:pic>
      <xdr:nvPicPr>
        <xdr:cNvPr id="34" name="Graphic 33" descr="Customer review with solid fill">
          <a:extLst>
            <a:ext uri="{FF2B5EF4-FFF2-40B4-BE49-F238E27FC236}">
              <a16:creationId xmlns:a16="http://schemas.microsoft.com/office/drawing/2014/main" id="{DA46A825-6510-4FD8-9919-8AE00E0EEE1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231298" y="824278"/>
          <a:ext cx="274759" cy="248871"/>
        </a:xfrm>
        <a:prstGeom prst="rect">
          <a:avLst/>
        </a:prstGeom>
      </xdr:spPr>
    </xdr:pic>
    <xdr:clientData/>
  </xdr:twoCellAnchor>
  <xdr:twoCellAnchor editAs="absolute">
    <xdr:from>
      <xdr:col>9</xdr:col>
      <xdr:colOff>219809</xdr:colOff>
      <xdr:row>9</xdr:row>
      <xdr:rowOff>170962</xdr:rowOff>
    </xdr:from>
    <xdr:to>
      <xdr:col>14</xdr:col>
      <xdr:colOff>360242</xdr:colOff>
      <xdr:row>19</xdr:row>
      <xdr:rowOff>122116</xdr:rowOff>
    </xdr:to>
    <xdr:sp macro="" textlink="">
      <xdr:nvSpPr>
        <xdr:cNvPr id="35" name="Rectangle: Rounded Corners 34">
          <a:extLst>
            <a:ext uri="{FF2B5EF4-FFF2-40B4-BE49-F238E27FC236}">
              <a16:creationId xmlns:a16="http://schemas.microsoft.com/office/drawing/2014/main" id="{A0769A99-248E-4214-A847-B6E82E4E2B57}"/>
            </a:ext>
          </a:extLst>
        </xdr:cNvPr>
        <xdr:cNvSpPr/>
      </xdr:nvSpPr>
      <xdr:spPr>
        <a:xfrm>
          <a:off x="5715001" y="1819520"/>
          <a:ext cx="3193318" cy="1782884"/>
        </a:xfrm>
        <a:prstGeom prst="roundRect">
          <a:avLst>
            <a:gd name="adj" fmla="val 5313"/>
          </a:avLst>
        </a:prstGeom>
        <a:solidFill>
          <a:srgbClr val="FFFF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7</xdr:col>
      <xdr:colOff>329713</xdr:colOff>
      <xdr:row>4</xdr:row>
      <xdr:rowOff>97693</xdr:rowOff>
    </xdr:from>
    <xdr:to>
      <xdr:col>9</xdr:col>
      <xdr:colOff>100585</xdr:colOff>
      <xdr:row>19</xdr:row>
      <xdr:rowOff>116010</xdr:rowOff>
    </xdr:to>
    <mc:AlternateContent xmlns:mc="http://schemas.openxmlformats.org/markup-compatibility/2006">
      <mc:Choice xmlns:a14="http://schemas.microsoft.com/office/drawing/2010/main" Requires="a14">
        <xdr:graphicFrame macro="">
          <xdr:nvGraphicFramePr>
            <xdr:cNvPr id="36" name="date (Month)">
              <a:extLst>
                <a:ext uri="{FF2B5EF4-FFF2-40B4-BE49-F238E27FC236}">
                  <a16:creationId xmlns:a16="http://schemas.microsoft.com/office/drawing/2014/main" id="{BD3CB4AB-3BBE-4478-AADB-8B233C7BC9F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4602426" y="826220"/>
              <a:ext cx="991647" cy="2750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97693</xdr:colOff>
      <xdr:row>5</xdr:row>
      <xdr:rowOff>128221</xdr:rowOff>
    </xdr:from>
    <xdr:to>
      <xdr:col>2</xdr:col>
      <xdr:colOff>293077</xdr:colOff>
      <xdr:row>9</xdr:row>
      <xdr:rowOff>109903</xdr:rowOff>
    </xdr:to>
    <xdr:graphicFrame macro="">
      <xdr:nvGraphicFramePr>
        <xdr:cNvPr id="38" name="Chart 37">
          <a:hlinkClick xmlns:r="http://schemas.openxmlformats.org/officeDocument/2006/relationships" r:id="rId10"/>
          <a:extLst>
            <a:ext uri="{FF2B5EF4-FFF2-40B4-BE49-F238E27FC236}">
              <a16:creationId xmlns:a16="http://schemas.microsoft.com/office/drawing/2014/main" id="{C515D7B4-7CCB-4D1A-8A78-18AF723AF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323606</xdr:colOff>
      <xdr:row>3</xdr:row>
      <xdr:rowOff>158750</xdr:rowOff>
    </xdr:from>
    <xdr:to>
      <xdr:col>4</xdr:col>
      <xdr:colOff>598366</xdr:colOff>
      <xdr:row>8</xdr:row>
      <xdr:rowOff>123824</xdr:rowOff>
    </xdr:to>
    <xdr:graphicFrame macro="">
      <xdr:nvGraphicFramePr>
        <xdr:cNvPr id="33" name="Chart 32">
          <a:hlinkClick xmlns:r="http://schemas.openxmlformats.org/officeDocument/2006/relationships" r:id="rId12"/>
          <a:extLst>
            <a:ext uri="{FF2B5EF4-FFF2-40B4-BE49-F238E27FC236}">
              <a16:creationId xmlns:a16="http://schemas.microsoft.com/office/drawing/2014/main" id="{7AAE3595-76AC-4634-9A39-480F965B6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6105</xdr:colOff>
      <xdr:row>6</xdr:row>
      <xdr:rowOff>152645</xdr:rowOff>
    </xdr:from>
    <xdr:to>
      <xdr:col>7</xdr:col>
      <xdr:colOff>219809</xdr:colOff>
      <xdr:row>8</xdr:row>
      <xdr:rowOff>62766</xdr:rowOff>
    </xdr:to>
    <xdr:graphicFrame macro="">
      <xdr:nvGraphicFramePr>
        <xdr:cNvPr id="37" name="Chart 36">
          <a:hlinkClick xmlns:r="http://schemas.openxmlformats.org/officeDocument/2006/relationships" r:id="rId14"/>
          <a:extLst>
            <a:ext uri="{FF2B5EF4-FFF2-40B4-BE49-F238E27FC236}">
              <a16:creationId xmlns:a16="http://schemas.microsoft.com/office/drawing/2014/main" id="{BF920AF7-765D-4354-AF48-799D400CA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103799</xdr:colOff>
          <xdr:row>8</xdr:row>
          <xdr:rowOff>140432</xdr:rowOff>
        </xdr:from>
        <xdr:to>
          <xdr:col>7</xdr:col>
          <xdr:colOff>219808</xdr:colOff>
          <xdr:row>11</xdr:row>
          <xdr:rowOff>146782</xdr:rowOff>
        </xdr:to>
        <xdr:pic>
          <xdr:nvPicPr>
            <xdr:cNvPr id="54" name="Picture 53">
              <a:extLst>
                <a:ext uri="{FF2B5EF4-FFF2-40B4-BE49-F238E27FC236}">
                  <a16:creationId xmlns:a16="http://schemas.microsoft.com/office/drawing/2014/main" id="{8CB2FF2B-98E3-4CA6-9DDD-1A2751EDD1AD}"/>
                </a:ext>
              </a:extLst>
            </xdr:cNvPr>
            <xdr:cNvPicPr>
              <a:picLocks noChangeAspect="1" noChangeArrowheads="1"/>
              <a:extLst>
                <a:ext uri="{84589F7E-364E-4C9E-8A38-B11213B215E9}">
                  <a14:cameraTool cellRange="'pivot report'!$L$26:$O$28" spid="_x0000_s1051"/>
                </a:ext>
              </a:extLst>
            </xdr:cNvPicPr>
          </xdr:nvPicPr>
          <xdr:blipFill>
            <a:blip xmlns:r="http://schemas.openxmlformats.org/officeDocument/2006/relationships" r:embed="rId16"/>
            <a:srcRect/>
            <a:stretch>
              <a:fillRect/>
            </a:stretch>
          </xdr:blipFill>
          <xdr:spPr bwMode="auto">
            <a:xfrm>
              <a:off x="103799" y="1605817"/>
              <a:ext cx="4390047" cy="555869"/>
            </a:xfrm>
            <a:prstGeom prst="roundRect">
              <a:avLst>
                <a:gd name="adj" fmla="val 8978"/>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0</xdr:col>
      <xdr:colOff>122115</xdr:colOff>
      <xdr:row>12</xdr:row>
      <xdr:rowOff>67163</xdr:rowOff>
    </xdr:from>
    <xdr:to>
      <xdr:col>7</xdr:col>
      <xdr:colOff>286973</xdr:colOff>
      <xdr:row>18</xdr:row>
      <xdr:rowOff>79375</xdr:rowOff>
    </xdr:to>
    <xdr:graphicFrame macro="">
      <xdr:nvGraphicFramePr>
        <xdr:cNvPr id="55" name="Chart 54">
          <a:extLst>
            <a:ext uri="{FF2B5EF4-FFF2-40B4-BE49-F238E27FC236}">
              <a16:creationId xmlns:a16="http://schemas.microsoft.com/office/drawing/2014/main" id="{4D1E8771-5039-44E3-9B63-AB8F57ADF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24422</xdr:colOff>
      <xdr:row>18</xdr:row>
      <xdr:rowOff>61059</xdr:rowOff>
    </xdr:from>
    <xdr:to>
      <xdr:col>5</xdr:col>
      <xdr:colOff>48846</xdr:colOff>
      <xdr:row>19</xdr:row>
      <xdr:rowOff>97693</xdr:rowOff>
    </xdr:to>
    <xdr:sp macro="" textlink="">
      <xdr:nvSpPr>
        <xdr:cNvPr id="4" name="TextBox 3">
          <a:extLst>
            <a:ext uri="{FF2B5EF4-FFF2-40B4-BE49-F238E27FC236}">
              <a16:creationId xmlns:a16="http://schemas.microsoft.com/office/drawing/2014/main" id="{695FF81E-718B-4E52-BC11-8B3721BD50F2}"/>
            </a:ext>
          </a:extLst>
        </xdr:cNvPr>
        <xdr:cNvSpPr txBox="1"/>
      </xdr:nvSpPr>
      <xdr:spPr>
        <a:xfrm>
          <a:off x="1245576" y="3358174"/>
          <a:ext cx="1856155" cy="219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latin typeface="Bahnschrift SemiLight" panose="020B0502040204020203" pitchFamily="34" charset="0"/>
            </a:rPr>
            <a:t>No of Patient By Age</a:t>
          </a:r>
          <a:r>
            <a:rPr lang="en-IN" sz="1000" baseline="0">
              <a:latin typeface="Bahnschrift SemiLight" panose="020B0502040204020203" pitchFamily="34" charset="0"/>
            </a:rPr>
            <a:t> Group</a:t>
          </a:r>
          <a:endParaRPr lang="en-IN" sz="1000">
            <a:latin typeface="Bahnschrift SemiLight" panose="020B0502040204020203" pitchFamily="34" charset="0"/>
          </a:endParaRPr>
        </a:p>
      </xdr:txBody>
    </xdr:sp>
    <xdr:clientData/>
  </xdr:twoCellAnchor>
  <xdr:twoCellAnchor>
    <xdr:from>
      <xdr:col>9</xdr:col>
      <xdr:colOff>256443</xdr:colOff>
      <xdr:row>0</xdr:row>
      <xdr:rowOff>116010</xdr:rowOff>
    </xdr:from>
    <xdr:to>
      <xdr:col>11</xdr:col>
      <xdr:colOff>561731</xdr:colOff>
      <xdr:row>9</xdr:row>
      <xdr:rowOff>38343</xdr:rowOff>
    </xdr:to>
    <xdr:graphicFrame macro="">
      <xdr:nvGraphicFramePr>
        <xdr:cNvPr id="57" name="Chart 56">
          <a:extLst>
            <a:ext uri="{FF2B5EF4-FFF2-40B4-BE49-F238E27FC236}">
              <a16:creationId xmlns:a16="http://schemas.microsoft.com/office/drawing/2014/main" id="{E25A91D4-0A72-4977-B974-91F4D5046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525096</xdr:colOff>
      <xdr:row>7</xdr:row>
      <xdr:rowOff>122116</xdr:rowOff>
    </xdr:from>
    <xdr:to>
      <xdr:col>11</xdr:col>
      <xdr:colOff>341924</xdr:colOff>
      <xdr:row>9</xdr:row>
      <xdr:rowOff>1</xdr:rowOff>
    </xdr:to>
    <xdr:sp macro="" textlink="">
      <xdr:nvSpPr>
        <xdr:cNvPr id="5" name="TextBox 4">
          <a:extLst>
            <a:ext uri="{FF2B5EF4-FFF2-40B4-BE49-F238E27FC236}">
              <a16:creationId xmlns:a16="http://schemas.microsoft.com/office/drawing/2014/main" id="{19F23819-8804-4D71-9BD0-F8F36972B412}"/>
            </a:ext>
          </a:extLst>
        </xdr:cNvPr>
        <xdr:cNvSpPr txBox="1"/>
      </xdr:nvSpPr>
      <xdr:spPr>
        <a:xfrm>
          <a:off x="6020288" y="1404328"/>
          <a:ext cx="1037982" cy="244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b="0">
              <a:latin typeface="Bahnschrift SemiLight" panose="020B0502040204020203" pitchFamily="34" charset="0"/>
            </a:rPr>
            <a:t>Patient Attend Status</a:t>
          </a:r>
        </a:p>
      </xdr:txBody>
    </xdr:sp>
    <xdr:clientData/>
  </xdr:twoCellAnchor>
  <xdr:twoCellAnchor>
    <xdr:from>
      <xdr:col>12</xdr:col>
      <xdr:colOff>116008</xdr:colOff>
      <xdr:row>0</xdr:row>
      <xdr:rowOff>146539</xdr:rowOff>
    </xdr:from>
    <xdr:to>
      <xdr:col>14</xdr:col>
      <xdr:colOff>341923</xdr:colOff>
      <xdr:row>8</xdr:row>
      <xdr:rowOff>24422</xdr:rowOff>
    </xdr:to>
    <xdr:graphicFrame macro="">
      <xdr:nvGraphicFramePr>
        <xdr:cNvPr id="59" name="Chart 58">
          <a:extLst>
            <a:ext uri="{FF2B5EF4-FFF2-40B4-BE49-F238E27FC236}">
              <a16:creationId xmlns:a16="http://schemas.microsoft.com/office/drawing/2014/main" id="{B8E8964E-EF78-4514-8CD9-8000751D7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189279</xdr:colOff>
      <xdr:row>7</xdr:row>
      <xdr:rowOff>122116</xdr:rowOff>
    </xdr:from>
    <xdr:to>
      <xdr:col>14</xdr:col>
      <xdr:colOff>134327</xdr:colOff>
      <xdr:row>9</xdr:row>
      <xdr:rowOff>1</xdr:rowOff>
    </xdr:to>
    <xdr:sp macro="" textlink="">
      <xdr:nvSpPr>
        <xdr:cNvPr id="60" name="TextBox 59">
          <a:extLst>
            <a:ext uri="{FF2B5EF4-FFF2-40B4-BE49-F238E27FC236}">
              <a16:creationId xmlns:a16="http://schemas.microsoft.com/office/drawing/2014/main" id="{BB8C5DB0-17A5-44E7-8543-4913E966B1BE}"/>
            </a:ext>
          </a:extLst>
        </xdr:cNvPr>
        <xdr:cNvSpPr txBox="1"/>
      </xdr:nvSpPr>
      <xdr:spPr>
        <a:xfrm>
          <a:off x="7516202" y="1404328"/>
          <a:ext cx="1166202" cy="244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b="0">
              <a:latin typeface="Bahnschrift SemiLight" panose="020B0502040204020203" pitchFamily="34" charset="0"/>
            </a:rPr>
            <a:t>Gender</a:t>
          </a:r>
          <a:r>
            <a:rPr lang="en-IN" sz="700" b="0" baseline="0">
              <a:latin typeface="Bahnschrift SemiLight" panose="020B0502040204020203" pitchFamily="34" charset="0"/>
            </a:rPr>
            <a:t> Wise Analysis </a:t>
          </a:r>
          <a:endParaRPr lang="en-IN" sz="700" b="0">
            <a:latin typeface="Bahnschrift SemiLight" panose="020B0502040204020203" pitchFamily="34" charset="0"/>
          </a:endParaRPr>
        </a:p>
      </xdr:txBody>
    </xdr:sp>
    <xdr:clientData/>
  </xdr:twoCellAnchor>
  <xdr:twoCellAnchor>
    <xdr:from>
      <xdr:col>9</xdr:col>
      <xdr:colOff>262548</xdr:colOff>
      <xdr:row>10</xdr:row>
      <xdr:rowOff>24421</xdr:rowOff>
    </xdr:from>
    <xdr:to>
      <xdr:col>14</xdr:col>
      <xdr:colOff>335817</xdr:colOff>
      <xdr:row>18</xdr:row>
      <xdr:rowOff>122114</xdr:rowOff>
    </xdr:to>
    <xdr:graphicFrame macro="">
      <xdr:nvGraphicFramePr>
        <xdr:cNvPr id="61" name="Chart 60">
          <a:extLst>
            <a:ext uri="{FF2B5EF4-FFF2-40B4-BE49-F238E27FC236}">
              <a16:creationId xmlns:a16="http://schemas.microsoft.com/office/drawing/2014/main" id="{692C8915-95E3-430D-BCD1-FA785D332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311393</xdr:colOff>
      <xdr:row>18</xdr:row>
      <xdr:rowOff>61059</xdr:rowOff>
    </xdr:from>
    <xdr:to>
      <xdr:col>13</xdr:col>
      <xdr:colOff>268653</xdr:colOff>
      <xdr:row>19</xdr:row>
      <xdr:rowOff>122117</xdr:rowOff>
    </xdr:to>
    <xdr:sp macro="" textlink="">
      <xdr:nvSpPr>
        <xdr:cNvPr id="62" name="TextBox 61">
          <a:extLst>
            <a:ext uri="{FF2B5EF4-FFF2-40B4-BE49-F238E27FC236}">
              <a16:creationId xmlns:a16="http://schemas.microsoft.com/office/drawing/2014/main" id="{4DEA03DF-CEEC-4997-8BEF-003FA1359BC8}"/>
            </a:ext>
          </a:extLst>
        </xdr:cNvPr>
        <xdr:cNvSpPr txBox="1"/>
      </xdr:nvSpPr>
      <xdr:spPr>
        <a:xfrm>
          <a:off x="6417162" y="3358174"/>
          <a:ext cx="1788991" cy="244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b="0">
              <a:latin typeface="Bahnschrift SemiLight" panose="020B0502040204020203" pitchFamily="34" charset="0"/>
            </a:rPr>
            <a:t>No</a:t>
          </a:r>
          <a:r>
            <a:rPr lang="en-IN" sz="700" b="0" baseline="0">
              <a:latin typeface="Bahnschrift SemiLight" panose="020B0502040204020203" pitchFamily="34" charset="0"/>
            </a:rPr>
            <a:t> of Patient by Departmetn Referal</a:t>
          </a:r>
          <a:endParaRPr lang="en-IN" sz="700" b="0">
            <a:latin typeface="Bahnschrift SemiLight" panose="020B0502040204020203" pitchFamily="34" charset="0"/>
          </a:endParaRPr>
        </a:p>
      </xdr:txBody>
    </xdr:sp>
    <xdr:clientData/>
  </xdr:twoCellAnchor>
  <xdr:twoCellAnchor editAs="oneCell">
    <xdr:from>
      <xdr:col>7</xdr:col>
      <xdr:colOff>311394</xdr:colOff>
      <xdr:row>1</xdr:row>
      <xdr:rowOff>24425</xdr:rowOff>
    </xdr:from>
    <xdr:to>
      <xdr:col>9</xdr:col>
      <xdr:colOff>128221</xdr:colOff>
      <xdr:row>3</xdr:row>
      <xdr:rowOff>103799</xdr:rowOff>
    </xdr:to>
    <mc:AlternateContent xmlns:mc="http://schemas.openxmlformats.org/markup-compatibility/2006">
      <mc:Choice xmlns:a14="http://schemas.microsoft.com/office/drawing/2010/main" Requires="a14">
        <xdr:graphicFrame macro="">
          <xdr:nvGraphicFramePr>
            <xdr:cNvPr id="63" name="date (Year)">
              <a:extLst>
                <a:ext uri="{FF2B5EF4-FFF2-40B4-BE49-F238E27FC236}">
                  <a16:creationId xmlns:a16="http://schemas.microsoft.com/office/drawing/2014/main" id="{6CC12587-075F-4F85-A21F-B739162D5DB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584107" y="206557"/>
              <a:ext cx="1037602" cy="443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577850</xdr:colOff>
      <xdr:row>25</xdr:row>
      <xdr:rowOff>38100</xdr:rowOff>
    </xdr:from>
    <xdr:to>
      <xdr:col>15</xdr:col>
      <xdr:colOff>31750</xdr:colOff>
      <xdr:row>28</xdr:row>
      <xdr:rowOff>120650</xdr:rowOff>
    </xdr:to>
    <xdr:graphicFrame macro="">
      <xdr:nvGraphicFramePr>
        <xdr:cNvPr id="3" name="Chart 2">
          <a:extLst>
            <a:ext uri="{FF2B5EF4-FFF2-40B4-BE49-F238E27FC236}">
              <a16:creationId xmlns:a16="http://schemas.microsoft.com/office/drawing/2014/main" id="{C506E6FB-5052-418F-A3CE-5628533AC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82550</xdr:colOff>
      <xdr:row>0</xdr:row>
      <xdr:rowOff>165100</xdr:rowOff>
    </xdr:from>
    <xdr:to>
      <xdr:col>8</xdr:col>
      <xdr:colOff>247650</xdr:colOff>
      <xdr:row>19</xdr:row>
      <xdr:rowOff>88900</xdr:rowOff>
    </xdr:to>
    <xdr:graphicFrame macro="">
      <xdr:nvGraphicFramePr>
        <xdr:cNvPr id="2" name="Chart 1">
          <a:extLst>
            <a:ext uri="{FF2B5EF4-FFF2-40B4-BE49-F238E27FC236}">
              <a16:creationId xmlns:a16="http://schemas.microsoft.com/office/drawing/2014/main" id="{F1AFF063-1E87-4ED3-9CC5-6D5B0E6BF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450850</xdr:colOff>
      <xdr:row>0</xdr:row>
      <xdr:rowOff>177800</xdr:rowOff>
    </xdr:from>
    <xdr:to>
      <xdr:col>8</xdr:col>
      <xdr:colOff>254000</xdr:colOff>
      <xdr:row>3</xdr:row>
      <xdr:rowOff>14379</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281F8741-00B1-48F8-9606-2512FBC64B7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718050" y="177800"/>
          <a:ext cx="412750" cy="3890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139700</xdr:colOff>
      <xdr:row>18</xdr:row>
      <xdr:rowOff>158750</xdr:rowOff>
    </xdr:to>
    <xdr:graphicFrame macro="">
      <xdr:nvGraphicFramePr>
        <xdr:cNvPr id="2" name="Chart 1">
          <a:extLst>
            <a:ext uri="{FF2B5EF4-FFF2-40B4-BE49-F238E27FC236}">
              <a16:creationId xmlns:a16="http://schemas.microsoft.com/office/drawing/2014/main" id="{48337615-9E97-43A5-8B5F-D5E834845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0.93381</cdr:x>
      <cdr:y>0</cdr:y>
    </cdr:from>
    <cdr:to>
      <cdr:x>1</cdr:x>
      <cdr:y>0.112</cdr:y>
    </cdr:to>
    <cdr:pic>
      <cdr:nvPicPr>
        <cdr:cNvPr id="3" name="Graphic 3"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81F8741-00B1-48F8-9606-2512FBC64B7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822950" y="0"/>
          <a:ext cx="412750" cy="389029"/>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387350</xdr:colOff>
      <xdr:row>1</xdr:row>
      <xdr:rowOff>165100</xdr:rowOff>
    </xdr:from>
    <xdr:to>
      <xdr:col>11</xdr:col>
      <xdr:colOff>177800</xdr:colOff>
      <xdr:row>16</xdr:row>
      <xdr:rowOff>146050</xdr:rowOff>
    </xdr:to>
    <xdr:graphicFrame macro="">
      <xdr:nvGraphicFramePr>
        <xdr:cNvPr id="2" name="Chart 1">
          <a:extLst>
            <a:ext uri="{FF2B5EF4-FFF2-40B4-BE49-F238E27FC236}">
              <a16:creationId xmlns:a16="http://schemas.microsoft.com/office/drawing/2014/main" id="{6FCFC0E3-F690-430F-9EB3-4FFD375FA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0.92375</cdr:x>
      <cdr:y>0</cdr:y>
    </cdr:from>
    <cdr:to>
      <cdr:x>1</cdr:x>
      <cdr:y>0.18056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B547BD8-6F7B-4B86-BA1E-6EFADC25405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000750" y="0"/>
          <a:ext cx="495300" cy="4953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ingh sajwan" refreshedDate="46176.562696412038" createdVersion="5" refreshedVersion="7" minRefreshableVersion="3" recordCount="0" supportSubquery="1" supportAdvancedDrill="1" xr:uid="{AC822CB1-DD6C-4DB8-8A0A-6D489DAB4E84}">
  <cacheSource type="external" connectionId="3"/>
  <cacheFields count="4">
    <cacheField name="[Calender Table].[date (Month)].[date (Month)]" caption="date (Month)" numFmtId="0" hierarchy="1" level="1">
      <sharedItems containsNonDate="0" count="1">
        <s v="Jul"/>
      </sharedItems>
    </cacheField>
    <cacheField name="[Calender Table].[date].[date]" caption="date" numFmtId="0" level="1">
      <sharedItems containsSemiMixedTypes="0" containsNonDate="0" containsDate="1" containsString="0" minDate="2024-07-01T00:00:00" maxDate="2025-08-01T00:00:00" count="62">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sharedItems>
    </cacheField>
    <cacheField name="[Calender Table].[date (Quarter)].[date (Quarter)]" caption="date (Quarter)" numFmtId="0" hierarchy="4" level="1">
      <sharedItems containsNonDate="0" count="1">
        <s v="Qtr3"/>
      </sharedItems>
    </cacheField>
    <cacheField name="[Calender Table].[date (Year)].[date (Year)]" caption="date (Year)" numFmtId="0" hierarchy="3" level="1">
      <sharedItems count="1">
        <s v="2025"/>
      </sharedItems>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patients_data_500].[patient_id]" caption="patient_id" attribute="1" defaultMemberUniqueName="[patients_data_500].[patient_id].[All]" allUniqueName="[patients_data_500].[patient_id].[All]" dimensionUniqueName="[patients_data_500]" displayFolder="" count="2" memberValueDatatype="130" unbalanced="0"/>
    <cacheHierarchy uniqueName="[patients_data_500].[patient_admission_date]" caption="patient_admission_date" attribute="1" time="1" defaultMemberUniqueName="[patients_data_500].[patient_admission_date].[All]" allUniqueName="[patients_data_500].[patient_admission_date].[All]" dimensionUniqueName="[patients_data_500]" displayFolder="" count="2" memberValueDatatype="7" unbalanced="0"/>
    <cacheHierarchy uniqueName="[patients_data_500].[patient_admission_time]" caption="patient_admission_time" attribute="1" time="1" defaultMemberUniqueName="[patients_data_500].[patient_admission_time].[All]" allUniqueName="[patients_data_500].[patient_admission_time].[All]" dimensionUniqueName="[patients_data_500]" displayFolder="" count="2" memberValueDatatype="7" unbalanced="0"/>
    <cacheHierarchy uniqueName="[patients_data_500].[Merged]" caption="Merged" attribute="1" defaultMemberUniqueName="[patients_data_500].[Merged].[All]" allUniqueName="[patients_data_500].[Merged].[All]" dimensionUniqueName="[patients_data_500]" displayFolder="" count="2" memberValueDatatype="130" unbalanced="0"/>
    <cacheHierarchy uniqueName="[patients_data_500].[patient_gender]" caption="patient_gender" attribute="1" defaultMemberUniqueName="[patients_data_500].[patient_gender].[All]" allUniqueName="[patients_data_500].[patient_gender].[All]" dimensionUniqueName="[patients_data_500]" displayFolder="" count="2" memberValueDatatype="130" unbalanced="0"/>
    <cacheHierarchy uniqueName="[patients_data_500].[patient_age]" caption="patient_age" attribute="1" defaultMemberUniqueName="[patients_data_500].[patient_age].[All]" allUniqueName="[patients_data_500].[patient_age].[All]" dimensionUniqueName="[patients_data_500]" displayFolder="" count="2" memberValueDatatype="20" unbalanced="0"/>
    <cacheHierarchy uniqueName="[patients_data_500].[patient_race]" caption="patient_race" attribute="1" defaultMemberUniqueName="[patients_data_500].[patient_race].[All]" allUniqueName="[patients_data_500].[patient_race].[All]" dimensionUniqueName="[patients_data_500]" displayFolder="" count="2" memberValueDatatype="130" unbalanced="0"/>
    <cacheHierarchy uniqueName="[patients_data_500].[department_referral]" caption="department_referral" attribute="1" defaultMemberUniqueName="[patients_data_500].[department_referral].[All]" allUniqueName="[patients_data_500].[department_referral].[All]" dimensionUniqueName="[patients_data_500]" displayFolder="" count="2" memberValueDatatype="130" unbalanced="0"/>
    <cacheHierarchy uniqueName="[patients_data_500].[patient_admission_flag]" caption="patient_admission_flag" attribute="1" defaultMemberUniqueName="[patients_data_500].[patient_admission_flag].[All]" allUniqueName="[patients_data_500].[patient_admission_flag].[All]" dimensionUniqueName="[patients_data_500]" displayFolder="" count="2" memberValueDatatype="130" unbalanced="0"/>
    <cacheHierarchy uniqueName="[patients_data_500].[patient_satisfaction_score]" caption="patient_satisfaction_score" attribute="1" defaultMemberUniqueName="[patients_data_500].[patient_satisfaction_score].[All]" allUniqueName="[patients_data_500].[patient_satisfaction_score].[All]" dimensionUniqueName="[patients_data_500]" displayFolder="" count="2" memberValueDatatype="5" unbalanced="0"/>
    <cacheHierarchy uniqueName="[patients_data_500].[patient_wait_time]" caption="patient_wait_time" attribute="1" defaultMemberUniqueName="[patients_data_500].[patient_wait_time].[All]" allUniqueName="[patients_data_500].[patient_wait_time].[All]" dimensionUniqueName="[patients_data_500]" displayFolder="" count="2" memberValueDatatype="20" unbalanced="0"/>
    <cacheHierarchy uniqueName="[patients_data_500].[age-group]" caption="age-group" attribute="1" defaultMemberUniqueName="[patients_data_500].[age-group].[All]" allUniqueName="[patients_data_500].[age-group].[All]" dimensionUniqueName="[patients_data_500]" displayFolder="" count="2" memberValueDatatype="130" unbalanced="0"/>
    <cacheHierarchy uniqueName="[patients_data_500].[Calculated Column 1]" caption="Calculated Column 1" attribute="1" defaultMemberUniqueName="[patients_data_500].[Calculated Column 1].[All]" allUniqueName="[patients_data_500].[Calculated Column 1].[All]" dimensionUniqueName="[patients_data_500]"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patients_data_500]" caption="__XL_Count patients_data_500" measure="1" displayFolder="" measureGroup="patients_data_500"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_id]" caption="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Distinct Count of patient_id]" caption="Distinct 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Sum of patient_wait_time]" caption="Sum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Average of patient_wait_time]" caption="Average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Sum of patient_satisfaction_score]" caption="Sum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Average of patient_satisfaction_score]" caption="Average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Count of patient_admission_flag]" caption="Count of patient_admission_flag" measure="1" displayFolder="" measureGroup="patients_data_500"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patients_data_500"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patients_data_500" count="0" hidden="1">
      <extLst>
        <ext xmlns:x15="http://schemas.microsoft.com/office/spreadsheetml/2010/11/main" uri="{B97F6D7D-B522-45F9-BDA1-12C45D357490}">
          <x15:cacheHierarchy aggregatedColumn="17"/>
        </ext>
      </extLst>
    </cacheHierarchy>
    <cacheHierarchy uniqueName="[Measures].[Count of patient_gender]" caption="Count of patient_gender" measure="1" displayFolder="" measureGroup="patients_data_500" count="0" hidden="1">
      <extLst>
        <ext xmlns:x15="http://schemas.microsoft.com/office/spreadsheetml/2010/11/main" uri="{B97F6D7D-B522-45F9-BDA1-12C45D357490}">
          <x15:cacheHierarchy aggregatedColumn="9"/>
        </ext>
      </extLst>
    </cacheHierarchy>
    <cacheHierarchy uniqueName="[Measures].[Count of department_referral]" caption="Count of department_referral" measure="1" displayFolder="" measureGroup="patients_data_500"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atients_data_500" uniqueName="[patients_data_500]" caption="patients_data_500"/>
  </dimensions>
  <measureGroups count="2">
    <measureGroup name="Calender Table" caption="Calender Table"/>
    <measureGroup name="patients_data_500" caption="patients_data_500"/>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ingh sajwan" refreshedDate="46176.562696643516" createdVersion="5" refreshedVersion="7" minRefreshableVersion="3" recordCount="0" supportSubquery="1" supportAdvancedDrill="1" xr:uid="{04760932-35CE-4B2B-943E-9CBB4762CF1C}">
  <cacheSource type="external" connectionId="3"/>
  <cacheFields count="3">
    <cacheField name="[Measures].[Distinct Count of patient_id]" caption="Distinct Count of patient_id" numFmtId="0" hierarchy="24"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patients_data_500].[patient_id]" caption="patient_id" attribute="1" defaultMemberUniqueName="[patients_data_500].[patient_id].[All]" allUniqueName="[patients_data_500].[patient_id].[All]" dimensionUniqueName="[patients_data_500]" displayFolder="" count="0" memberValueDatatype="130" unbalanced="0"/>
    <cacheHierarchy uniqueName="[patients_data_500].[patient_admission_date]" caption="patient_admission_date" attribute="1" time="1" defaultMemberUniqueName="[patients_data_500].[patient_admission_date].[All]" allUniqueName="[patients_data_500].[patient_admission_date].[All]" dimensionUniqueName="[patients_data_500]" displayFolder="" count="0" memberValueDatatype="7" unbalanced="0"/>
    <cacheHierarchy uniqueName="[patients_data_500].[patient_admission_time]" caption="patient_admission_time" attribute="1" time="1" defaultMemberUniqueName="[patients_data_500].[patient_admission_time].[All]" allUniqueName="[patients_data_500].[patient_admission_time].[All]" dimensionUniqueName="[patients_data_500]" displayFolder="" count="0" memberValueDatatype="7" unbalanced="0"/>
    <cacheHierarchy uniqueName="[patients_data_500].[Merged]" caption="Merged" attribute="1" defaultMemberUniqueName="[patients_data_500].[Merged].[All]" allUniqueName="[patients_data_500].[Merged].[All]" dimensionUniqueName="[patients_data_500]" displayFolder="" count="0" memberValueDatatype="130" unbalanced="0"/>
    <cacheHierarchy uniqueName="[patients_data_500].[patient_gender]" caption="patient_gender" attribute="1" defaultMemberUniqueName="[patients_data_500].[patient_gender].[All]" allUniqueName="[patients_data_500].[patient_gender].[All]" dimensionUniqueName="[patients_data_500]" displayFolder="" count="0" memberValueDatatype="130" unbalanced="0"/>
    <cacheHierarchy uniqueName="[patients_data_500].[patient_age]" caption="patient_age" attribute="1" defaultMemberUniqueName="[patients_data_500].[patient_age].[All]" allUniqueName="[patients_data_500].[patient_age].[All]" dimensionUniqueName="[patients_data_500]" displayFolder="" count="0" memberValueDatatype="20" unbalanced="0"/>
    <cacheHierarchy uniqueName="[patients_data_500].[patient_race]" caption="patient_race" attribute="1" defaultMemberUniqueName="[patients_data_500].[patient_race].[All]" allUniqueName="[patients_data_500].[patient_race].[All]" dimensionUniqueName="[patients_data_500]" displayFolder="" count="0" memberValueDatatype="130" unbalanced="0"/>
    <cacheHierarchy uniqueName="[patients_data_500].[department_referral]" caption="department_referral" attribute="1" defaultMemberUniqueName="[patients_data_500].[department_referral].[All]" allUniqueName="[patients_data_500].[department_referral].[All]" dimensionUniqueName="[patients_data_500]" displayFolder="" count="0" memberValueDatatype="130" unbalanced="0"/>
    <cacheHierarchy uniqueName="[patients_data_500].[patient_admission_flag]" caption="patient_admission_flag" attribute="1" defaultMemberUniqueName="[patients_data_500].[patient_admission_flag].[All]" allUniqueName="[patients_data_500].[patient_admission_flag].[All]" dimensionUniqueName="[patients_data_500]" displayFolder="" count="0" memberValueDatatype="130" unbalanced="0"/>
    <cacheHierarchy uniqueName="[patients_data_500].[patient_satisfaction_score]" caption="patient_satisfaction_score" attribute="1" defaultMemberUniqueName="[patients_data_500].[patient_satisfaction_score].[All]" allUniqueName="[patients_data_500].[patient_satisfaction_score].[All]" dimensionUniqueName="[patients_data_500]" displayFolder="" count="0" memberValueDatatype="5" unbalanced="0"/>
    <cacheHierarchy uniqueName="[patients_data_500].[patient_wait_time]" caption="patient_wait_time" attribute="1" defaultMemberUniqueName="[patients_data_500].[patient_wait_time].[All]" allUniqueName="[patients_data_500].[patient_wait_time].[All]" dimensionUniqueName="[patients_data_500]" displayFolder="" count="0" memberValueDatatype="20" unbalanced="0"/>
    <cacheHierarchy uniqueName="[patients_data_500].[age-group]" caption="age-group" attribute="1" defaultMemberUniqueName="[patients_data_500].[age-group].[All]" allUniqueName="[patients_data_500].[age-group].[All]" dimensionUniqueName="[patients_data_500]" displayFolder="" count="0" memberValueDatatype="130" unbalanced="0"/>
    <cacheHierarchy uniqueName="[patients_data_500].[Calculated Column 1]" caption="Calculated Column 1" attribute="1" defaultMemberUniqueName="[patients_data_500].[Calculated Column 1].[All]" allUniqueName="[patients_data_500].[Calculated Column 1].[All]" dimensionUniqueName="[patients_data_500]"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patients_data_500]" caption="__XL_Count patients_data_500" measure="1" displayFolder="" measureGroup="patients_data_500"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_id]" caption="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Distinct Count of patient_id]" caption="Distinct Count of patient_id" measure="1" displayFolder="" measureGroup="patients_data_500"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_wait_time]" caption="Sum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Average of patient_wait_time]" caption="Average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Sum of patient_satisfaction_score]" caption="Sum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Average of patient_satisfaction_score]" caption="Average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Count of patient_admission_flag]" caption="Count of patient_admission_flag" measure="1" displayFolder="" measureGroup="patients_data_500"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patients_data_500"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patients_data_500" count="0" hidden="1">
      <extLst>
        <ext xmlns:x15="http://schemas.microsoft.com/office/spreadsheetml/2010/11/main" uri="{B97F6D7D-B522-45F9-BDA1-12C45D357490}">
          <x15:cacheHierarchy aggregatedColumn="17"/>
        </ext>
      </extLst>
    </cacheHierarchy>
    <cacheHierarchy uniqueName="[Measures].[Count of patient_gender]" caption="Count of patient_gender" measure="1" displayFolder="" measureGroup="patients_data_500" count="0" hidden="1">
      <extLst>
        <ext xmlns:x15="http://schemas.microsoft.com/office/spreadsheetml/2010/11/main" uri="{B97F6D7D-B522-45F9-BDA1-12C45D357490}">
          <x15:cacheHierarchy aggregatedColumn="9"/>
        </ext>
      </extLst>
    </cacheHierarchy>
    <cacheHierarchy uniqueName="[Measures].[Count of department_referral]" caption="Count of department_referral" measure="1" displayFolder="" measureGroup="patients_data_500"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atients_data_500" uniqueName="[patients_data_500]" caption="patients_data_500"/>
  </dimensions>
  <measureGroups count="2">
    <measureGroup name="Calender Table" caption="Calender Table"/>
    <measureGroup name="patients_data_500" caption="patients_data_500"/>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ingh sajwan" refreshedDate="46176.562697453701" createdVersion="5" refreshedVersion="7" minRefreshableVersion="3" recordCount="0" supportSubquery="1" supportAdvancedDrill="1" xr:uid="{B6839719-DD3D-40C8-93DB-5B57B175FF38}">
  <cacheSource type="external" connectionId="3"/>
  <cacheFields count="4">
    <cacheField name="[Calender Table].[date (Month)].[date (Month)]" caption="date (Month)" numFmtId="0" hierarchy="1" level="1">
      <sharedItems containsSemiMixedTypes="0" containsNonDate="0" containsString="0"/>
    </cacheField>
    <cacheField name="[patients_data_500].[Calculated Column 1].[Calculated Column 1]" caption="Calculated Column 1" numFmtId="0" hierarchy="17" level="1">
      <sharedItems count="2">
        <s v="Delay"/>
        <s v="Ontime"/>
      </sharedItems>
    </cacheField>
    <cacheField name="[Measures].[Count of Calculated Column 1]" caption="Count of Calculated Column 1" numFmtId="0" hierarchy="31"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patients_data_500].[patient_id]" caption="patient_id" attribute="1" defaultMemberUniqueName="[patients_data_500].[patient_id].[All]" allUniqueName="[patients_data_500].[patient_id].[All]" dimensionUniqueName="[patients_data_500]" displayFolder="" count="0" memberValueDatatype="130" unbalanced="0"/>
    <cacheHierarchy uniqueName="[patients_data_500].[patient_admission_date]" caption="patient_admission_date" attribute="1" time="1" defaultMemberUniqueName="[patients_data_500].[patient_admission_date].[All]" allUniqueName="[patients_data_500].[patient_admission_date].[All]" dimensionUniqueName="[patients_data_500]" displayFolder="" count="0" memberValueDatatype="7" unbalanced="0"/>
    <cacheHierarchy uniqueName="[patients_data_500].[patient_admission_time]" caption="patient_admission_time" attribute="1" time="1" defaultMemberUniqueName="[patients_data_500].[patient_admission_time].[All]" allUniqueName="[patients_data_500].[patient_admission_time].[All]" dimensionUniqueName="[patients_data_500]" displayFolder="" count="0" memberValueDatatype="7" unbalanced="0"/>
    <cacheHierarchy uniqueName="[patients_data_500].[Merged]" caption="Merged" attribute="1" defaultMemberUniqueName="[patients_data_500].[Merged].[All]" allUniqueName="[patients_data_500].[Merged].[All]" dimensionUniqueName="[patients_data_500]" displayFolder="" count="0" memberValueDatatype="130" unbalanced="0"/>
    <cacheHierarchy uniqueName="[patients_data_500].[patient_gender]" caption="patient_gender" attribute="1" defaultMemberUniqueName="[patients_data_500].[patient_gender].[All]" allUniqueName="[patients_data_500].[patient_gender].[All]" dimensionUniqueName="[patients_data_500]" displayFolder="" count="0" memberValueDatatype="130" unbalanced="0"/>
    <cacheHierarchy uniqueName="[patients_data_500].[patient_age]" caption="patient_age" attribute="1" defaultMemberUniqueName="[patients_data_500].[patient_age].[All]" allUniqueName="[patients_data_500].[patient_age].[All]" dimensionUniqueName="[patients_data_500]" displayFolder="" count="0" memberValueDatatype="20" unbalanced="0"/>
    <cacheHierarchy uniqueName="[patients_data_500].[patient_race]" caption="patient_race" attribute="1" defaultMemberUniqueName="[patients_data_500].[patient_race].[All]" allUniqueName="[patients_data_500].[patient_race].[All]" dimensionUniqueName="[patients_data_500]" displayFolder="" count="0" memberValueDatatype="130" unbalanced="0"/>
    <cacheHierarchy uniqueName="[patients_data_500].[department_referral]" caption="department_referral" attribute="1" defaultMemberUniqueName="[patients_data_500].[department_referral].[All]" allUniqueName="[patients_data_500].[department_referral].[All]" dimensionUniqueName="[patients_data_500]" displayFolder="" count="0" memberValueDatatype="130" unbalanced="0"/>
    <cacheHierarchy uniqueName="[patients_data_500].[patient_admission_flag]" caption="patient_admission_flag" attribute="1" defaultMemberUniqueName="[patients_data_500].[patient_admission_flag].[All]" allUniqueName="[patients_data_500].[patient_admission_flag].[All]" dimensionUniqueName="[patients_data_500]" displayFolder="" count="0" memberValueDatatype="130" unbalanced="0"/>
    <cacheHierarchy uniqueName="[patients_data_500].[patient_satisfaction_score]" caption="patient_satisfaction_score" attribute="1" defaultMemberUniqueName="[patients_data_500].[patient_satisfaction_score].[All]" allUniqueName="[patients_data_500].[patient_satisfaction_score].[All]" dimensionUniqueName="[patients_data_500]" displayFolder="" count="0" memberValueDatatype="5" unbalanced="0"/>
    <cacheHierarchy uniqueName="[patients_data_500].[patient_wait_time]" caption="patient_wait_time" attribute="1" defaultMemberUniqueName="[patients_data_500].[patient_wait_time].[All]" allUniqueName="[patients_data_500].[patient_wait_time].[All]" dimensionUniqueName="[patients_data_500]" displayFolder="" count="0" memberValueDatatype="20" unbalanced="0"/>
    <cacheHierarchy uniqueName="[patients_data_500].[age-group]" caption="age-group" attribute="1" defaultMemberUniqueName="[patients_data_500].[age-group].[All]" allUniqueName="[patients_data_500].[age-group].[All]" dimensionUniqueName="[patients_data_500]" displayFolder="" count="0" memberValueDatatype="130" unbalanced="0"/>
    <cacheHierarchy uniqueName="[patients_data_500].[Calculated Column 1]" caption="Calculated Column 1" attribute="1" defaultMemberUniqueName="[patients_data_500].[Calculated Column 1].[All]" allUniqueName="[patients_data_500].[Calculated Column 1].[All]" dimensionUniqueName="[patients_data_500]"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patients_data_500]" caption="__XL_Count patients_data_500" measure="1" displayFolder="" measureGroup="patients_data_500"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_id]" caption="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Distinct Count of patient_id]" caption="Distinct 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Sum of patient_wait_time]" caption="Sum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Average of patient_wait_time]" caption="Average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Sum of patient_satisfaction_score]" caption="Sum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Average of patient_satisfaction_score]" caption="Average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Count of patient_admission_flag]" caption="Count of patient_admission_flag" measure="1" displayFolder="" measureGroup="patients_data_500"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patients_data_500"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patients_data_500"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_gender]" caption="Count of patient_gender" measure="1" displayFolder="" measureGroup="patients_data_500" count="0" hidden="1">
      <extLst>
        <ext xmlns:x15="http://schemas.microsoft.com/office/spreadsheetml/2010/11/main" uri="{B97F6D7D-B522-45F9-BDA1-12C45D357490}">
          <x15:cacheHierarchy aggregatedColumn="9"/>
        </ext>
      </extLst>
    </cacheHierarchy>
    <cacheHierarchy uniqueName="[Measures].[Count of department_referral]" caption="Count of department_referral" measure="1" displayFolder="" measureGroup="patients_data_500"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atients_data_500" uniqueName="[patients_data_500]" caption="patients_data_500"/>
  </dimensions>
  <measureGroups count="2">
    <measureGroup name="Calender Table" caption="Calender Table"/>
    <measureGroup name="patients_data_500" caption="patients_data_500"/>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ingh sajwan" refreshedDate="46176.56269791667" createdVersion="5" refreshedVersion="7" minRefreshableVersion="3" recordCount="0" supportSubquery="1" supportAdvancedDrill="1" xr:uid="{1D3CABC9-ABDB-4B5D-8238-09F06056BF9D}">
  <cacheSource type="external" connectionId="3"/>
  <cacheFields count="4">
    <cacheField name="[Calender Table].[date (Month)].[date (Month)]" caption="date (Month)" numFmtId="0" hierarchy="1" level="1">
      <sharedItems containsSemiMixedTypes="0" containsNonDate="0" containsString="0"/>
    </cacheField>
    <cacheField name="[patients_data_500].[patient_gender].[patient_gender]" caption="patient_gender" numFmtId="0" hierarchy="9" level="1">
      <sharedItems count="2">
        <s v="Female"/>
        <s v="Male"/>
      </sharedItems>
    </cacheField>
    <cacheField name="[Measures].[Count of patient_gender]" caption="Count of patient_gender" numFmtId="0" hierarchy="32"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patients_data_500].[patient_id]" caption="patient_id" attribute="1" defaultMemberUniqueName="[patients_data_500].[patient_id].[All]" allUniqueName="[patients_data_500].[patient_id].[All]" dimensionUniqueName="[patients_data_500]" displayFolder="" count="0" memberValueDatatype="130" unbalanced="0"/>
    <cacheHierarchy uniqueName="[patients_data_500].[patient_admission_date]" caption="patient_admission_date" attribute="1" time="1" defaultMemberUniqueName="[patients_data_500].[patient_admission_date].[All]" allUniqueName="[patients_data_500].[patient_admission_date].[All]" dimensionUniqueName="[patients_data_500]" displayFolder="" count="0" memberValueDatatype="7" unbalanced="0"/>
    <cacheHierarchy uniqueName="[patients_data_500].[patient_admission_time]" caption="patient_admission_time" attribute="1" time="1" defaultMemberUniqueName="[patients_data_500].[patient_admission_time].[All]" allUniqueName="[patients_data_500].[patient_admission_time].[All]" dimensionUniqueName="[patients_data_500]" displayFolder="" count="0" memberValueDatatype="7" unbalanced="0"/>
    <cacheHierarchy uniqueName="[patients_data_500].[Merged]" caption="Merged" attribute="1" defaultMemberUniqueName="[patients_data_500].[Merged].[All]" allUniqueName="[patients_data_500].[Merged].[All]" dimensionUniqueName="[patients_data_500]" displayFolder="" count="0" memberValueDatatype="130" unbalanced="0"/>
    <cacheHierarchy uniqueName="[patients_data_500].[patient_gender]" caption="patient_gender" attribute="1" defaultMemberUniqueName="[patients_data_500].[patient_gender].[All]" allUniqueName="[patients_data_500].[patient_gender].[All]" dimensionUniqueName="[patients_data_500]" displayFolder="" count="2" memberValueDatatype="130" unbalanced="0">
      <fieldsUsage count="2">
        <fieldUsage x="-1"/>
        <fieldUsage x="1"/>
      </fieldsUsage>
    </cacheHierarchy>
    <cacheHierarchy uniqueName="[patients_data_500].[patient_age]" caption="patient_age" attribute="1" defaultMemberUniqueName="[patients_data_500].[patient_age].[All]" allUniqueName="[patients_data_500].[patient_age].[All]" dimensionUniqueName="[patients_data_500]" displayFolder="" count="0" memberValueDatatype="20" unbalanced="0"/>
    <cacheHierarchy uniqueName="[patients_data_500].[patient_race]" caption="patient_race" attribute="1" defaultMemberUniqueName="[patients_data_500].[patient_race].[All]" allUniqueName="[patients_data_500].[patient_race].[All]" dimensionUniqueName="[patients_data_500]" displayFolder="" count="0" memberValueDatatype="130" unbalanced="0"/>
    <cacheHierarchy uniqueName="[patients_data_500].[department_referral]" caption="department_referral" attribute="1" defaultMemberUniqueName="[patients_data_500].[department_referral].[All]" allUniqueName="[patients_data_500].[department_referral].[All]" dimensionUniqueName="[patients_data_500]" displayFolder="" count="0" memberValueDatatype="130" unbalanced="0"/>
    <cacheHierarchy uniqueName="[patients_data_500].[patient_admission_flag]" caption="patient_admission_flag" attribute="1" defaultMemberUniqueName="[patients_data_500].[patient_admission_flag].[All]" allUniqueName="[patients_data_500].[patient_admission_flag].[All]" dimensionUniqueName="[patients_data_500]" displayFolder="" count="0" memberValueDatatype="130" unbalanced="0"/>
    <cacheHierarchy uniqueName="[patients_data_500].[patient_satisfaction_score]" caption="patient_satisfaction_score" attribute="1" defaultMemberUniqueName="[patients_data_500].[patient_satisfaction_score].[All]" allUniqueName="[patients_data_500].[patient_satisfaction_score].[All]" dimensionUniqueName="[patients_data_500]" displayFolder="" count="0" memberValueDatatype="5" unbalanced="0"/>
    <cacheHierarchy uniqueName="[patients_data_500].[patient_wait_time]" caption="patient_wait_time" attribute="1" defaultMemberUniqueName="[patients_data_500].[patient_wait_time].[All]" allUniqueName="[patients_data_500].[patient_wait_time].[All]" dimensionUniqueName="[patients_data_500]" displayFolder="" count="0" memberValueDatatype="20" unbalanced="0"/>
    <cacheHierarchy uniqueName="[patients_data_500].[age-group]" caption="age-group" attribute="1" defaultMemberUniqueName="[patients_data_500].[age-group].[All]" allUniqueName="[patients_data_500].[age-group].[All]" dimensionUniqueName="[patients_data_500]" displayFolder="" count="0" memberValueDatatype="130" unbalanced="0"/>
    <cacheHierarchy uniqueName="[patients_data_500].[Calculated Column 1]" caption="Calculated Column 1" attribute="1" defaultMemberUniqueName="[patients_data_500].[Calculated Column 1].[All]" allUniqueName="[patients_data_500].[Calculated Column 1].[All]" dimensionUniqueName="[patients_data_500]"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patients_data_500]" caption="__XL_Count patients_data_500" measure="1" displayFolder="" measureGroup="patients_data_500"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_id]" caption="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Distinct Count of patient_id]" caption="Distinct 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Sum of patient_wait_time]" caption="Sum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Average of patient_wait_time]" caption="Average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Sum of patient_satisfaction_score]" caption="Sum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Average of patient_satisfaction_score]" caption="Average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Count of patient_admission_flag]" caption="Count of patient_admission_flag" measure="1" displayFolder="" measureGroup="patients_data_500"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patients_data_500"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patients_data_500" count="0" hidden="1">
      <extLst>
        <ext xmlns:x15="http://schemas.microsoft.com/office/spreadsheetml/2010/11/main" uri="{B97F6D7D-B522-45F9-BDA1-12C45D357490}">
          <x15:cacheHierarchy aggregatedColumn="17"/>
        </ext>
      </extLst>
    </cacheHierarchy>
    <cacheHierarchy uniqueName="[Measures].[Count of patient_gender]" caption="Count of patient_gender" measure="1" displayFolder="" measureGroup="patients_data_500"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_referral]" caption="Count of department_referral" measure="1" displayFolder="" measureGroup="patients_data_500"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atients_data_500" uniqueName="[patients_data_500]" caption="patients_data_500"/>
  </dimensions>
  <measureGroups count="2">
    <measureGroup name="Calender Table" caption="Calender Table"/>
    <measureGroup name="patients_data_500" caption="patients_data_500"/>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ingh sajwan" refreshedDate="46176.562698495371" createdVersion="5" refreshedVersion="7" minRefreshableVersion="3" recordCount="0" supportSubquery="1" supportAdvancedDrill="1" xr:uid="{27C0C231-968B-4091-9F7E-19D02263B1A3}">
  <cacheSource type="external" connectionId="3"/>
  <cacheFields count="4">
    <cacheField name="[Calender Table].[date (Month)].[date (Month)]" caption="date (Month)" numFmtId="0" hierarchy="1" level="1">
      <sharedItems containsSemiMixedTypes="0" containsNonDate="0" containsString="0"/>
    </cacheField>
    <cacheField name="[Measures].[Count of department_referral]" caption="Count of department_referral" numFmtId="0" hierarchy="33" level="32767"/>
    <cacheField name="[patients_data_500].[department_referral].[department_referral]" caption="department_referral" numFmtId="0" hierarchy="12" level="1">
      <sharedItems count="12">
        <s v="Cardiology"/>
        <s v="Dermatology"/>
        <s v="Endocrinology"/>
        <s v="Gastroenterology"/>
        <s v="Nephrology"/>
        <s v="Neurology"/>
        <s v="Oncology"/>
        <s v="Orthopedics"/>
        <s v="Pediatrics"/>
        <s v="Psychiatry"/>
        <s v="Pulmonology"/>
        <s v="Rheumatology"/>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patients_data_500].[patient_id]" caption="patient_id" attribute="1" defaultMemberUniqueName="[patients_data_500].[patient_id].[All]" allUniqueName="[patients_data_500].[patient_id].[All]" dimensionUniqueName="[patients_data_500]" displayFolder="" count="0" memberValueDatatype="130" unbalanced="0"/>
    <cacheHierarchy uniqueName="[patients_data_500].[patient_admission_date]" caption="patient_admission_date" attribute="1" time="1" defaultMemberUniqueName="[patients_data_500].[patient_admission_date].[All]" allUniqueName="[patients_data_500].[patient_admission_date].[All]" dimensionUniqueName="[patients_data_500]" displayFolder="" count="0" memberValueDatatype="7" unbalanced="0"/>
    <cacheHierarchy uniqueName="[patients_data_500].[patient_admission_time]" caption="patient_admission_time" attribute="1" time="1" defaultMemberUniqueName="[patients_data_500].[patient_admission_time].[All]" allUniqueName="[patients_data_500].[patient_admission_time].[All]" dimensionUniqueName="[patients_data_500]" displayFolder="" count="0" memberValueDatatype="7" unbalanced="0"/>
    <cacheHierarchy uniqueName="[patients_data_500].[Merged]" caption="Merged" attribute="1" defaultMemberUniqueName="[patients_data_500].[Merged].[All]" allUniqueName="[patients_data_500].[Merged].[All]" dimensionUniqueName="[patients_data_500]" displayFolder="" count="0" memberValueDatatype="130" unbalanced="0"/>
    <cacheHierarchy uniqueName="[patients_data_500].[patient_gender]" caption="patient_gender" attribute="1" defaultMemberUniqueName="[patients_data_500].[patient_gender].[All]" allUniqueName="[patients_data_500].[patient_gender].[All]" dimensionUniqueName="[patients_data_500]" displayFolder="" count="0" memberValueDatatype="130" unbalanced="0"/>
    <cacheHierarchy uniqueName="[patients_data_500].[patient_age]" caption="patient_age" attribute="1" defaultMemberUniqueName="[patients_data_500].[patient_age].[All]" allUniqueName="[patients_data_500].[patient_age].[All]" dimensionUniqueName="[patients_data_500]" displayFolder="" count="0" memberValueDatatype="20" unbalanced="0"/>
    <cacheHierarchy uniqueName="[patients_data_500].[patient_race]" caption="patient_race" attribute="1" defaultMemberUniqueName="[patients_data_500].[patient_race].[All]" allUniqueName="[patients_data_500].[patient_race].[All]" dimensionUniqueName="[patients_data_500]" displayFolder="" count="0" memberValueDatatype="130" unbalanced="0"/>
    <cacheHierarchy uniqueName="[patients_data_500].[department_referral]" caption="department_referral" attribute="1" defaultMemberUniqueName="[patients_data_500].[department_referral].[All]" allUniqueName="[patients_data_500].[department_referral].[All]" dimensionUniqueName="[patients_data_500]" displayFolder="" count="2" memberValueDatatype="130" unbalanced="0">
      <fieldsUsage count="2">
        <fieldUsage x="-1"/>
        <fieldUsage x="2"/>
      </fieldsUsage>
    </cacheHierarchy>
    <cacheHierarchy uniqueName="[patients_data_500].[patient_admission_flag]" caption="patient_admission_flag" attribute="1" defaultMemberUniqueName="[patients_data_500].[patient_admission_flag].[All]" allUniqueName="[patients_data_500].[patient_admission_flag].[All]" dimensionUniqueName="[patients_data_500]" displayFolder="" count="0" memberValueDatatype="130" unbalanced="0"/>
    <cacheHierarchy uniqueName="[patients_data_500].[patient_satisfaction_score]" caption="patient_satisfaction_score" attribute="1" defaultMemberUniqueName="[patients_data_500].[patient_satisfaction_score].[All]" allUniqueName="[patients_data_500].[patient_satisfaction_score].[All]" dimensionUniqueName="[patients_data_500]" displayFolder="" count="0" memberValueDatatype="5" unbalanced="0"/>
    <cacheHierarchy uniqueName="[patients_data_500].[patient_wait_time]" caption="patient_wait_time" attribute="1" defaultMemberUniqueName="[patients_data_500].[patient_wait_time].[All]" allUniqueName="[patients_data_500].[patient_wait_time].[All]" dimensionUniqueName="[patients_data_500]" displayFolder="" count="0" memberValueDatatype="20" unbalanced="0"/>
    <cacheHierarchy uniqueName="[patients_data_500].[age-group]" caption="age-group" attribute="1" defaultMemberUniqueName="[patients_data_500].[age-group].[All]" allUniqueName="[patients_data_500].[age-group].[All]" dimensionUniqueName="[patients_data_500]" displayFolder="" count="0" memberValueDatatype="130" unbalanced="0"/>
    <cacheHierarchy uniqueName="[patients_data_500].[Calculated Column 1]" caption="Calculated Column 1" attribute="1" defaultMemberUniqueName="[patients_data_500].[Calculated Column 1].[All]" allUniqueName="[patients_data_500].[Calculated Column 1].[All]" dimensionUniqueName="[patients_data_500]"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patients_data_500]" caption="__XL_Count patients_data_500" measure="1" displayFolder="" measureGroup="patients_data_500"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_id]" caption="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Distinct Count of patient_id]" caption="Distinct 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Sum of patient_wait_time]" caption="Sum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Average of patient_wait_time]" caption="Average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Sum of patient_satisfaction_score]" caption="Sum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Average of patient_satisfaction_score]" caption="Average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Count of patient_admission_flag]" caption="Count of patient_admission_flag" measure="1" displayFolder="" measureGroup="patients_data_500"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patients_data_500"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patients_data_500" count="0" hidden="1">
      <extLst>
        <ext xmlns:x15="http://schemas.microsoft.com/office/spreadsheetml/2010/11/main" uri="{B97F6D7D-B522-45F9-BDA1-12C45D357490}">
          <x15:cacheHierarchy aggregatedColumn="17"/>
        </ext>
      </extLst>
    </cacheHierarchy>
    <cacheHierarchy uniqueName="[Measures].[Count of patient_gender]" caption="Count of patient_gender" measure="1" displayFolder="" measureGroup="patients_data_500" count="0" hidden="1">
      <extLst>
        <ext xmlns:x15="http://schemas.microsoft.com/office/spreadsheetml/2010/11/main" uri="{B97F6D7D-B522-45F9-BDA1-12C45D357490}">
          <x15:cacheHierarchy aggregatedColumn="9"/>
        </ext>
      </extLst>
    </cacheHierarchy>
    <cacheHierarchy uniqueName="[Measures].[Count of department_referral]" caption="Count of department_referral" measure="1" displayFolder="" measureGroup="patients_data_500"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atients_data_500" uniqueName="[patients_data_500]" caption="patients_data_500"/>
  </dimensions>
  <measureGroups count="2">
    <measureGroup name="Calender Table" caption="Calender Table"/>
    <measureGroup name="patients_data_500" caption="patients_data_500"/>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ingh sajwan" refreshedDate="46176.562698726855" createdVersion="5" refreshedVersion="7" minRefreshableVersion="3" recordCount="0" supportSubquery="1" supportAdvancedDrill="1" xr:uid="{708DBB45-A558-4D18-86A0-706B5535DC0B}">
  <cacheSource type="external" connectionId="3"/>
  <cacheFields count="3">
    <cacheField name="[Measures].[Average of patient_wait_time]" caption="Average of patient_wait_time" numFmtId="0" hierarchy="26"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patients_data_500].[patient_id]" caption="patient_id" attribute="1" defaultMemberUniqueName="[patients_data_500].[patient_id].[All]" allUniqueName="[patients_data_500].[patient_id].[All]" dimensionUniqueName="[patients_data_500]" displayFolder="" count="0" memberValueDatatype="130" unbalanced="0"/>
    <cacheHierarchy uniqueName="[patients_data_500].[patient_admission_date]" caption="patient_admission_date" attribute="1" time="1" defaultMemberUniqueName="[patients_data_500].[patient_admission_date].[All]" allUniqueName="[patients_data_500].[patient_admission_date].[All]" dimensionUniqueName="[patients_data_500]" displayFolder="" count="0" memberValueDatatype="7" unbalanced="0"/>
    <cacheHierarchy uniqueName="[patients_data_500].[patient_admission_time]" caption="patient_admission_time" attribute="1" time="1" defaultMemberUniqueName="[patients_data_500].[patient_admission_time].[All]" allUniqueName="[patients_data_500].[patient_admission_time].[All]" dimensionUniqueName="[patients_data_500]" displayFolder="" count="0" memberValueDatatype="7" unbalanced="0"/>
    <cacheHierarchy uniqueName="[patients_data_500].[Merged]" caption="Merged" attribute="1" defaultMemberUniqueName="[patients_data_500].[Merged].[All]" allUniqueName="[patients_data_500].[Merged].[All]" dimensionUniqueName="[patients_data_500]" displayFolder="" count="0" memberValueDatatype="130" unbalanced="0"/>
    <cacheHierarchy uniqueName="[patients_data_500].[patient_gender]" caption="patient_gender" attribute="1" defaultMemberUniqueName="[patients_data_500].[patient_gender].[All]" allUniqueName="[patients_data_500].[patient_gender].[All]" dimensionUniqueName="[patients_data_500]" displayFolder="" count="0" memberValueDatatype="130" unbalanced="0"/>
    <cacheHierarchy uniqueName="[patients_data_500].[patient_age]" caption="patient_age" attribute="1" defaultMemberUniqueName="[patients_data_500].[patient_age].[All]" allUniqueName="[patients_data_500].[patient_age].[All]" dimensionUniqueName="[patients_data_500]" displayFolder="" count="0" memberValueDatatype="20" unbalanced="0"/>
    <cacheHierarchy uniqueName="[patients_data_500].[patient_race]" caption="patient_race" attribute="1" defaultMemberUniqueName="[patients_data_500].[patient_race].[All]" allUniqueName="[patients_data_500].[patient_race].[All]" dimensionUniqueName="[patients_data_500]" displayFolder="" count="0" memberValueDatatype="130" unbalanced="0"/>
    <cacheHierarchy uniqueName="[patients_data_500].[department_referral]" caption="department_referral" attribute="1" defaultMemberUniqueName="[patients_data_500].[department_referral].[All]" allUniqueName="[patients_data_500].[department_referral].[All]" dimensionUniqueName="[patients_data_500]" displayFolder="" count="0" memberValueDatatype="130" unbalanced="0"/>
    <cacheHierarchy uniqueName="[patients_data_500].[patient_admission_flag]" caption="patient_admission_flag" attribute="1" defaultMemberUniqueName="[patients_data_500].[patient_admission_flag].[All]" allUniqueName="[patients_data_500].[patient_admission_flag].[All]" dimensionUniqueName="[patients_data_500]" displayFolder="" count="0" memberValueDatatype="130" unbalanced="0"/>
    <cacheHierarchy uniqueName="[patients_data_500].[patient_satisfaction_score]" caption="patient_satisfaction_score" attribute="1" defaultMemberUniqueName="[patients_data_500].[patient_satisfaction_score].[All]" allUniqueName="[patients_data_500].[patient_satisfaction_score].[All]" dimensionUniqueName="[patients_data_500]" displayFolder="" count="0" memberValueDatatype="5" unbalanced="0"/>
    <cacheHierarchy uniqueName="[patients_data_500].[patient_wait_time]" caption="patient_wait_time" attribute="1" defaultMemberUniqueName="[patients_data_500].[patient_wait_time].[All]" allUniqueName="[patients_data_500].[patient_wait_time].[All]" dimensionUniqueName="[patients_data_500]" displayFolder="" count="0" memberValueDatatype="20" unbalanced="0"/>
    <cacheHierarchy uniqueName="[patients_data_500].[age-group]" caption="age-group" attribute="1" defaultMemberUniqueName="[patients_data_500].[age-group].[All]" allUniqueName="[patients_data_500].[age-group].[All]" dimensionUniqueName="[patients_data_500]" displayFolder="" count="0" memberValueDatatype="130" unbalanced="0"/>
    <cacheHierarchy uniqueName="[patients_data_500].[Calculated Column 1]" caption="Calculated Column 1" attribute="1" defaultMemberUniqueName="[patients_data_500].[Calculated Column 1].[All]" allUniqueName="[patients_data_500].[Calculated Column 1].[All]" dimensionUniqueName="[patients_data_500]"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patients_data_500]" caption="__XL_Count patients_data_500" measure="1" displayFolder="" measureGroup="patients_data_500"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_id]" caption="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Distinct Count of patient_id]" caption="Distinct 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Sum of patient_wait_time]" caption="Sum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Average of patient_wait_time]" caption="Average of patient_wait_time" measure="1" displayFolder="" measureGroup="patients_data_500"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_satisfaction_score]" caption="Sum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Average of patient_satisfaction_score]" caption="Average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Count of patient_admission_flag]" caption="Count of patient_admission_flag" measure="1" displayFolder="" measureGroup="patients_data_500"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patients_data_500"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patients_data_500" count="0" hidden="1">
      <extLst>
        <ext xmlns:x15="http://schemas.microsoft.com/office/spreadsheetml/2010/11/main" uri="{B97F6D7D-B522-45F9-BDA1-12C45D357490}">
          <x15:cacheHierarchy aggregatedColumn="17"/>
        </ext>
      </extLst>
    </cacheHierarchy>
    <cacheHierarchy uniqueName="[Measures].[Count of patient_gender]" caption="Count of patient_gender" measure="1" displayFolder="" measureGroup="patients_data_500" count="0" hidden="1">
      <extLst>
        <ext xmlns:x15="http://schemas.microsoft.com/office/spreadsheetml/2010/11/main" uri="{B97F6D7D-B522-45F9-BDA1-12C45D357490}">
          <x15:cacheHierarchy aggregatedColumn="9"/>
        </ext>
      </extLst>
    </cacheHierarchy>
    <cacheHierarchy uniqueName="[Measures].[Count of department_referral]" caption="Count of department_referral" measure="1" displayFolder="" measureGroup="patients_data_500"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atients_data_500" uniqueName="[patients_data_500]" caption="patients_data_500"/>
  </dimensions>
  <measureGroups count="2">
    <measureGroup name="Calender Table" caption="Calender Table"/>
    <measureGroup name="patients_data_500" caption="patients_data_500"/>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ingh sajwan" refreshedDate="46176.562699305556" createdVersion="5" refreshedVersion="7" minRefreshableVersion="3" recordCount="0" supportSubquery="1" supportAdvancedDrill="1" xr:uid="{13C4F56A-266C-4806-BCA4-07A06667F07A}">
  <cacheSource type="external" connectionId="3"/>
  <cacheFields count="3">
    <cacheField name="[Measures].[Average of patient_satisfaction_score]" caption="Average of patient_satisfaction_score" numFmtId="0" hierarchy="28"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patients_data_500].[patient_id]" caption="patient_id" attribute="1" defaultMemberUniqueName="[patients_data_500].[patient_id].[All]" allUniqueName="[patients_data_500].[patient_id].[All]" dimensionUniqueName="[patients_data_500]" displayFolder="" count="0" memberValueDatatype="130" unbalanced="0"/>
    <cacheHierarchy uniqueName="[patients_data_500].[patient_admission_date]" caption="patient_admission_date" attribute="1" time="1" defaultMemberUniqueName="[patients_data_500].[patient_admission_date].[All]" allUniqueName="[patients_data_500].[patient_admission_date].[All]" dimensionUniqueName="[patients_data_500]" displayFolder="" count="0" memberValueDatatype="7" unbalanced="0"/>
    <cacheHierarchy uniqueName="[patients_data_500].[patient_admission_time]" caption="patient_admission_time" attribute="1" time="1" defaultMemberUniqueName="[patients_data_500].[patient_admission_time].[All]" allUniqueName="[patients_data_500].[patient_admission_time].[All]" dimensionUniqueName="[patients_data_500]" displayFolder="" count="0" memberValueDatatype="7" unbalanced="0"/>
    <cacheHierarchy uniqueName="[patients_data_500].[Merged]" caption="Merged" attribute="1" defaultMemberUniqueName="[patients_data_500].[Merged].[All]" allUniqueName="[patients_data_500].[Merged].[All]" dimensionUniqueName="[patients_data_500]" displayFolder="" count="0" memberValueDatatype="130" unbalanced="0"/>
    <cacheHierarchy uniqueName="[patients_data_500].[patient_gender]" caption="patient_gender" attribute="1" defaultMemberUniqueName="[patients_data_500].[patient_gender].[All]" allUniqueName="[patients_data_500].[patient_gender].[All]" dimensionUniqueName="[patients_data_500]" displayFolder="" count="0" memberValueDatatype="130" unbalanced="0"/>
    <cacheHierarchy uniqueName="[patients_data_500].[patient_age]" caption="patient_age" attribute="1" defaultMemberUniqueName="[patients_data_500].[patient_age].[All]" allUniqueName="[patients_data_500].[patient_age].[All]" dimensionUniqueName="[patients_data_500]" displayFolder="" count="0" memberValueDatatype="20" unbalanced="0"/>
    <cacheHierarchy uniqueName="[patients_data_500].[patient_race]" caption="patient_race" attribute="1" defaultMemberUniqueName="[patients_data_500].[patient_race].[All]" allUniqueName="[patients_data_500].[patient_race].[All]" dimensionUniqueName="[patients_data_500]" displayFolder="" count="0" memberValueDatatype="130" unbalanced="0"/>
    <cacheHierarchy uniqueName="[patients_data_500].[department_referral]" caption="department_referral" attribute="1" defaultMemberUniqueName="[patients_data_500].[department_referral].[All]" allUniqueName="[patients_data_500].[department_referral].[All]" dimensionUniqueName="[patients_data_500]" displayFolder="" count="0" memberValueDatatype="130" unbalanced="0"/>
    <cacheHierarchy uniqueName="[patients_data_500].[patient_admission_flag]" caption="patient_admission_flag" attribute="1" defaultMemberUniqueName="[patients_data_500].[patient_admission_flag].[All]" allUniqueName="[patients_data_500].[patient_admission_flag].[All]" dimensionUniqueName="[patients_data_500]" displayFolder="" count="0" memberValueDatatype="130" unbalanced="0"/>
    <cacheHierarchy uniqueName="[patients_data_500].[patient_satisfaction_score]" caption="patient_satisfaction_score" attribute="1" defaultMemberUniqueName="[patients_data_500].[patient_satisfaction_score].[All]" allUniqueName="[patients_data_500].[patient_satisfaction_score].[All]" dimensionUniqueName="[patients_data_500]" displayFolder="" count="0" memberValueDatatype="5" unbalanced="0"/>
    <cacheHierarchy uniqueName="[patients_data_500].[patient_wait_time]" caption="patient_wait_time" attribute="1" defaultMemberUniqueName="[patients_data_500].[patient_wait_time].[All]" allUniqueName="[patients_data_500].[patient_wait_time].[All]" dimensionUniqueName="[patients_data_500]" displayFolder="" count="0" memberValueDatatype="20" unbalanced="0"/>
    <cacheHierarchy uniqueName="[patients_data_500].[age-group]" caption="age-group" attribute="1" defaultMemberUniqueName="[patients_data_500].[age-group].[All]" allUniqueName="[patients_data_500].[age-group].[All]" dimensionUniqueName="[patients_data_500]" displayFolder="" count="0" memberValueDatatype="130" unbalanced="0"/>
    <cacheHierarchy uniqueName="[patients_data_500].[Calculated Column 1]" caption="Calculated Column 1" attribute="1" defaultMemberUniqueName="[patients_data_500].[Calculated Column 1].[All]" allUniqueName="[patients_data_500].[Calculated Column 1].[All]" dimensionUniqueName="[patients_data_500]"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patients_data_500]" caption="__XL_Count patients_data_500" measure="1" displayFolder="" measureGroup="patients_data_500"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_id]" caption="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Distinct Count of patient_id]" caption="Distinct 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Sum of patient_wait_time]" caption="Sum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Average of patient_wait_time]" caption="Average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Sum of patient_satisfaction_score]" caption="Sum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Average of patient_satisfaction_score]" caption="Average of patient_satisfaction_score" measure="1" displayFolder="" measureGroup="patients_data_500"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_admission_flag]" caption="Count of patient_admission_flag" measure="1" displayFolder="" measureGroup="patients_data_500"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patients_data_500"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patients_data_500" count="0" hidden="1">
      <extLst>
        <ext xmlns:x15="http://schemas.microsoft.com/office/spreadsheetml/2010/11/main" uri="{B97F6D7D-B522-45F9-BDA1-12C45D357490}">
          <x15:cacheHierarchy aggregatedColumn="17"/>
        </ext>
      </extLst>
    </cacheHierarchy>
    <cacheHierarchy uniqueName="[Measures].[Count of patient_gender]" caption="Count of patient_gender" measure="1" displayFolder="" measureGroup="patients_data_500" count="0" hidden="1">
      <extLst>
        <ext xmlns:x15="http://schemas.microsoft.com/office/spreadsheetml/2010/11/main" uri="{B97F6D7D-B522-45F9-BDA1-12C45D357490}">
          <x15:cacheHierarchy aggregatedColumn="9"/>
        </ext>
      </extLst>
    </cacheHierarchy>
    <cacheHierarchy uniqueName="[Measures].[Count of department_referral]" caption="Count of department_referral" measure="1" displayFolder="" measureGroup="patients_data_500"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atients_data_500" uniqueName="[patients_data_500]" caption="patients_data_500"/>
  </dimensions>
  <measureGroups count="2">
    <measureGroup name="Calender Table" caption="Calender Table"/>
    <measureGroup name="patients_data_500" caption="patients_data_500"/>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ingh sajwan" refreshedDate="46176.56270023148" createdVersion="5" refreshedVersion="7" minRefreshableVersion="3" recordCount="0" supportSubquery="1" supportAdvancedDrill="1" xr:uid="{F0B3C2FF-EF1F-425F-8846-F079DBE92D31}">
  <cacheSource type="external" connectionId="3"/>
  <cacheFields count="4">
    <cacheField name="[Measures].[Distinct Count of patient_id]" caption="Distinct Count of patient_id" numFmtId="0" hierarchy="24" level="32767"/>
    <cacheField name="[Calender Table].[date (Day)].[date (Day)]" caption="date (Day)" numFmtId="0" hierarchy="2" level="1">
      <sharedItems count="17">
        <s v="1-Jan"/>
        <s v="2-Jan"/>
        <s v="3-Jan"/>
        <s v="7-Jan"/>
        <s v="8-Jan"/>
        <s v="9-Jan"/>
        <s v="10-Jan"/>
        <s v="12-Jan"/>
        <s v="13-Jan"/>
        <s v="14-Jan"/>
        <s v="15-Jan"/>
        <s v="17-Jan"/>
        <s v="19-Jan"/>
        <s v="20-Jan"/>
        <s v="21-Jan"/>
        <s v="27-Jan"/>
        <s v="29-Jan"/>
      </sharedItems>
    </cacheField>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patients_data_500].[patient_id]" caption="patient_id" attribute="1" defaultMemberUniqueName="[patients_data_500].[patient_id].[All]" allUniqueName="[patients_data_500].[patient_id].[All]" dimensionUniqueName="[patients_data_500]" displayFolder="" count="0" memberValueDatatype="130" unbalanced="0"/>
    <cacheHierarchy uniqueName="[patients_data_500].[patient_admission_date]" caption="patient_admission_date" attribute="1" time="1" defaultMemberUniqueName="[patients_data_500].[patient_admission_date].[All]" allUniqueName="[patients_data_500].[patient_admission_date].[All]" dimensionUniqueName="[patients_data_500]" displayFolder="" count="0" memberValueDatatype="7" unbalanced="0"/>
    <cacheHierarchy uniqueName="[patients_data_500].[patient_admission_time]" caption="patient_admission_time" attribute="1" time="1" defaultMemberUniqueName="[patients_data_500].[patient_admission_time].[All]" allUniqueName="[patients_data_500].[patient_admission_time].[All]" dimensionUniqueName="[patients_data_500]" displayFolder="" count="0" memberValueDatatype="7" unbalanced="0"/>
    <cacheHierarchy uniqueName="[patients_data_500].[Merged]" caption="Merged" attribute="1" defaultMemberUniqueName="[patients_data_500].[Merged].[All]" allUniqueName="[patients_data_500].[Merged].[All]" dimensionUniqueName="[patients_data_500]" displayFolder="" count="0" memberValueDatatype="130" unbalanced="0"/>
    <cacheHierarchy uniqueName="[patients_data_500].[patient_gender]" caption="patient_gender" attribute="1" defaultMemberUniqueName="[patients_data_500].[patient_gender].[All]" allUniqueName="[patients_data_500].[patient_gender].[All]" dimensionUniqueName="[patients_data_500]" displayFolder="" count="0" memberValueDatatype="130" unbalanced="0"/>
    <cacheHierarchy uniqueName="[patients_data_500].[patient_age]" caption="patient_age" attribute="1" defaultMemberUniqueName="[patients_data_500].[patient_age].[All]" allUniqueName="[patients_data_500].[patient_age].[All]" dimensionUniqueName="[patients_data_500]" displayFolder="" count="0" memberValueDatatype="20" unbalanced="0"/>
    <cacheHierarchy uniqueName="[patients_data_500].[patient_race]" caption="patient_race" attribute="1" defaultMemberUniqueName="[patients_data_500].[patient_race].[All]" allUniqueName="[patients_data_500].[patient_race].[All]" dimensionUniqueName="[patients_data_500]" displayFolder="" count="0" memberValueDatatype="130" unbalanced="0"/>
    <cacheHierarchy uniqueName="[patients_data_500].[department_referral]" caption="department_referral" attribute="1" defaultMemberUniqueName="[patients_data_500].[department_referral].[All]" allUniqueName="[patients_data_500].[department_referral].[All]" dimensionUniqueName="[patients_data_500]" displayFolder="" count="0" memberValueDatatype="130" unbalanced="0"/>
    <cacheHierarchy uniqueName="[patients_data_500].[patient_admission_flag]" caption="patient_admission_flag" attribute="1" defaultMemberUniqueName="[patients_data_500].[patient_admission_flag].[All]" allUniqueName="[patients_data_500].[patient_admission_flag].[All]" dimensionUniqueName="[patients_data_500]" displayFolder="" count="0" memberValueDatatype="130" unbalanced="0"/>
    <cacheHierarchy uniqueName="[patients_data_500].[patient_satisfaction_score]" caption="patient_satisfaction_score" attribute="1" defaultMemberUniqueName="[patients_data_500].[patient_satisfaction_score].[All]" allUniqueName="[patients_data_500].[patient_satisfaction_score].[All]" dimensionUniqueName="[patients_data_500]" displayFolder="" count="0" memberValueDatatype="5" unbalanced="0"/>
    <cacheHierarchy uniqueName="[patients_data_500].[patient_wait_time]" caption="patient_wait_time" attribute="1" defaultMemberUniqueName="[patients_data_500].[patient_wait_time].[All]" allUniqueName="[patients_data_500].[patient_wait_time].[All]" dimensionUniqueName="[patients_data_500]" displayFolder="" count="0" memberValueDatatype="20" unbalanced="0"/>
    <cacheHierarchy uniqueName="[patients_data_500].[age-group]" caption="age-group" attribute="1" defaultMemberUniqueName="[patients_data_500].[age-group].[All]" allUniqueName="[patients_data_500].[age-group].[All]" dimensionUniqueName="[patients_data_500]" displayFolder="" count="0" memberValueDatatype="130" unbalanced="0"/>
    <cacheHierarchy uniqueName="[patients_data_500].[Calculated Column 1]" caption="Calculated Column 1" attribute="1" defaultMemberUniqueName="[patients_data_500].[Calculated Column 1].[All]" allUniqueName="[patients_data_500].[Calculated Column 1].[All]" dimensionUniqueName="[patients_data_500]"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patients_data_500]" caption="__XL_Count patients_data_500" measure="1" displayFolder="" measureGroup="patients_data_500"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_id]" caption="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Distinct Count of patient_id]" caption="Distinct Count of patient_id" measure="1" displayFolder="" measureGroup="patients_data_500"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_wait_time]" caption="Sum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Average of patient_wait_time]" caption="Average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Sum of patient_satisfaction_score]" caption="Sum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Average of patient_satisfaction_score]" caption="Average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Count of patient_admission_flag]" caption="Count of patient_admission_flag" measure="1" displayFolder="" measureGroup="patients_data_500"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patients_data_500"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patients_data_500" count="0" hidden="1">
      <extLst>
        <ext xmlns:x15="http://schemas.microsoft.com/office/spreadsheetml/2010/11/main" uri="{B97F6D7D-B522-45F9-BDA1-12C45D357490}">
          <x15:cacheHierarchy aggregatedColumn="17"/>
        </ext>
      </extLst>
    </cacheHierarchy>
    <cacheHierarchy uniqueName="[Measures].[Count of patient_gender]" caption="Count of patient_gender" measure="1" displayFolder="" measureGroup="patients_data_500" count="0" hidden="1">
      <extLst>
        <ext xmlns:x15="http://schemas.microsoft.com/office/spreadsheetml/2010/11/main" uri="{B97F6D7D-B522-45F9-BDA1-12C45D357490}">
          <x15:cacheHierarchy aggregatedColumn="9"/>
        </ext>
      </extLst>
    </cacheHierarchy>
    <cacheHierarchy uniqueName="[Measures].[Count of department_referral]" caption="Count of department_referral" measure="1" displayFolder="" measureGroup="patients_data_500"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atients_data_500" uniqueName="[patients_data_500]" caption="patients_data_500"/>
  </dimensions>
  <measureGroups count="2">
    <measureGroup name="Calender Table" caption="Calender Table"/>
    <measureGroup name="patients_data_500" caption="patients_data_500"/>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ingh sajwan" refreshedDate="46176.562701157411" createdVersion="5" refreshedVersion="7" minRefreshableVersion="3" recordCount="0" supportSubquery="1" supportAdvancedDrill="1" xr:uid="{D98D07B0-7A77-43A5-9C14-F148ED1E10AB}">
  <cacheSource type="external" connectionId="3"/>
  <cacheFields count="4">
    <cacheField name="[Calender Table].[date (Day)].[date (Day)]" caption="date (Day)" numFmtId="0" hierarchy="2" level="1">
      <sharedItems count="17">
        <s v="1-Jan"/>
        <s v="2-Jan"/>
        <s v="3-Jan"/>
        <s v="7-Jan"/>
        <s v="8-Jan"/>
        <s v="9-Jan"/>
        <s v="10-Jan"/>
        <s v="12-Jan"/>
        <s v="13-Jan"/>
        <s v="14-Jan"/>
        <s v="15-Jan"/>
        <s v="17-Jan"/>
        <s v="19-Jan"/>
        <s v="20-Jan"/>
        <s v="21-Jan"/>
        <s v="27-Jan"/>
        <s v="29-Jan"/>
      </sharedItems>
    </cacheField>
    <cacheField name="[Calender Table].[date (Month)].[date (Month)]" caption="date (Month)" numFmtId="0" hierarchy="1" level="1">
      <sharedItems containsSemiMixedTypes="0" containsNonDate="0" containsString="0"/>
    </cacheField>
    <cacheField name="[Measures].[Average of patient_wait_time]" caption="Average of patient_wait_time" numFmtId="0" hierarchy="26"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patients_data_500].[patient_id]" caption="patient_id" attribute="1" defaultMemberUniqueName="[patients_data_500].[patient_id].[All]" allUniqueName="[patients_data_500].[patient_id].[All]" dimensionUniqueName="[patients_data_500]" displayFolder="" count="0" memberValueDatatype="130" unbalanced="0"/>
    <cacheHierarchy uniqueName="[patients_data_500].[patient_admission_date]" caption="patient_admission_date" attribute="1" time="1" defaultMemberUniqueName="[patients_data_500].[patient_admission_date].[All]" allUniqueName="[patients_data_500].[patient_admission_date].[All]" dimensionUniqueName="[patients_data_500]" displayFolder="" count="0" memberValueDatatype="7" unbalanced="0"/>
    <cacheHierarchy uniqueName="[patients_data_500].[patient_admission_time]" caption="patient_admission_time" attribute="1" time="1" defaultMemberUniqueName="[patients_data_500].[patient_admission_time].[All]" allUniqueName="[patients_data_500].[patient_admission_time].[All]" dimensionUniqueName="[patients_data_500]" displayFolder="" count="0" memberValueDatatype="7" unbalanced="0"/>
    <cacheHierarchy uniqueName="[patients_data_500].[Merged]" caption="Merged" attribute="1" defaultMemberUniqueName="[patients_data_500].[Merged].[All]" allUniqueName="[patients_data_500].[Merged].[All]" dimensionUniqueName="[patients_data_500]" displayFolder="" count="0" memberValueDatatype="130" unbalanced="0"/>
    <cacheHierarchy uniqueName="[patients_data_500].[patient_gender]" caption="patient_gender" attribute="1" defaultMemberUniqueName="[patients_data_500].[patient_gender].[All]" allUniqueName="[patients_data_500].[patient_gender].[All]" dimensionUniqueName="[patients_data_500]" displayFolder="" count="0" memberValueDatatype="130" unbalanced="0"/>
    <cacheHierarchy uniqueName="[patients_data_500].[patient_age]" caption="patient_age" attribute="1" defaultMemberUniqueName="[patients_data_500].[patient_age].[All]" allUniqueName="[patients_data_500].[patient_age].[All]" dimensionUniqueName="[patients_data_500]" displayFolder="" count="0" memberValueDatatype="20" unbalanced="0"/>
    <cacheHierarchy uniqueName="[patients_data_500].[patient_race]" caption="patient_race" attribute="1" defaultMemberUniqueName="[patients_data_500].[patient_race].[All]" allUniqueName="[patients_data_500].[patient_race].[All]" dimensionUniqueName="[patients_data_500]" displayFolder="" count="0" memberValueDatatype="130" unbalanced="0"/>
    <cacheHierarchy uniqueName="[patients_data_500].[department_referral]" caption="department_referral" attribute="1" defaultMemberUniqueName="[patients_data_500].[department_referral].[All]" allUniqueName="[patients_data_500].[department_referral].[All]" dimensionUniqueName="[patients_data_500]" displayFolder="" count="0" memberValueDatatype="130" unbalanced="0"/>
    <cacheHierarchy uniqueName="[patients_data_500].[patient_admission_flag]" caption="patient_admission_flag" attribute="1" defaultMemberUniqueName="[patients_data_500].[patient_admission_flag].[All]" allUniqueName="[patients_data_500].[patient_admission_flag].[All]" dimensionUniqueName="[patients_data_500]" displayFolder="" count="0" memberValueDatatype="130" unbalanced="0"/>
    <cacheHierarchy uniqueName="[patients_data_500].[patient_satisfaction_score]" caption="patient_satisfaction_score" attribute="1" defaultMemberUniqueName="[patients_data_500].[patient_satisfaction_score].[All]" allUniqueName="[patients_data_500].[patient_satisfaction_score].[All]" dimensionUniqueName="[patients_data_500]" displayFolder="" count="0" memberValueDatatype="5" unbalanced="0"/>
    <cacheHierarchy uniqueName="[patients_data_500].[patient_wait_time]" caption="patient_wait_time" attribute="1" defaultMemberUniqueName="[patients_data_500].[patient_wait_time].[All]" allUniqueName="[patients_data_500].[patient_wait_time].[All]" dimensionUniqueName="[patients_data_500]" displayFolder="" count="0" memberValueDatatype="20" unbalanced="0"/>
    <cacheHierarchy uniqueName="[patients_data_500].[age-group]" caption="age-group" attribute="1" defaultMemberUniqueName="[patients_data_500].[age-group].[All]" allUniqueName="[patients_data_500].[age-group].[All]" dimensionUniqueName="[patients_data_500]" displayFolder="" count="0" memberValueDatatype="130" unbalanced="0"/>
    <cacheHierarchy uniqueName="[patients_data_500].[Calculated Column 1]" caption="Calculated Column 1" attribute="1" defaultMemberUniqueName="[patients_data_500].[Calculated Column 1].[All]" allUniqueName="[patients_data_500].[Calculated Column 1].[All]" dimensionUniqueName="[patients_data_500]"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patients_data_500]" caption="__XL_Count patients_data_500" measure="1" displayFolder="" measureGroup="patients_data_500"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_id]" caption="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Distinct Count of patient_id]" caption="Distinct 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Sum of patient_wait_time]" caption="Sum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Average of patient_wait_time]" caption="Average of patient_wait_time" measure="1" displayFolder="" measureGroup="patients_data_500"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_satisfaction_score]" caption="Sum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Average of patient_satisfaction_score]" caption="Average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Count of patient_admission_flag]" caption="Count of patient_admission_flag" measure="1" displayFolder="" measureGroup="patients_data_500"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patients_data_500"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patients_data_500" count="0" hidden="1">
      <extLst>
        <ext xmlns:x15="http://schemas.microsoft.com/office/spreadsheetml/2010/11/main" uri="{B97F6D7D-B522-45F9-BDA1-12C45D357490}">
          <x15:cacheHierarchy aggregatedColumn="17"/>
        </ext>
      </extLst>
    </cacheHierarchy>
    <cacheHierarchy uniqueName="[Measures].[Count of patient_gender]" caption="Count of patient_gender" measure="1" displayFolder="" measureGroup="patients_data_500" count="0" hidden="1">
      <extLst>
        <ext xmlns:x15="http://schemas.microsoft.com/office/spreadsheetml/2010/11/main" uri="{B97F6D7D-B522-45F9-BDA1-12C45D357490}">
          <x15:cacheHierarchy aggregatedColumn="9"/>
        </ext>
      </extLst>
    </cacheHierarchy>
    <cacheHierarchy uniqueName="[Measures].[Count of department_referral]" caption="Count of department_referral" measure="1" displayFolder="" measureGroup="patients_data_500"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atients_data_500" uniqueName="[patients_data_500]" caption="patients_data_500"/>
  </dimensions>
  <measureGroups count="2">
    <measureGroup name="Calender Table" caption="Calender Table"/>
    <measureGroup name="patients_data_500" caption="patients_data_500"/>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ingh sajwan" refreshedDate="46176.562702083334" createdVersion="5" refreshedVersion="7" minRefreshableVersion="3" recordCount="0" supportSubquery="1" supportAdvancedDrill="1" xr:uid="{9066AD15-5FA8-4D06-BDFA-5AEAB43AB672}">
  <cacheSource type="external" connectionId="3"/>
  <cacheFields count="4">
    <cacheField name="[Calender Table].[date (Day)].[date (Day)]" caption="date (Day)" numFmtId="0" hierarchy="2" level="1">
      <sharedItems count="17">
        <s v="1-Jan"/>
        <s v="2-Jan"/>
        <s v="3-Jan"/>
        <s v="7-Jan"/>
        <s v="8-Jan"/>
        <s v="9-Jan"/>
        <s v="10-Jan"/>
        <s v="12-Jan"/>
        <s v="13-Jan"/>
        <s v="14-Jan"/>
        <s v="15-Jan"/>
        <s v="17-Jan"/>
        <s v="19-Jan"/>
        <s v="20-Jan"/>
        <s v="21-Jan"/>
        <s v="27-Jan"/>
        <s v="29-Jan"/>
      </sharedItems>
    </cacheField>
    <cacheField name="[Calender Table].[date (Month)].[date (Month)]" caption="date (Month)" numFmtId="0" hierarchy="1" level="1">
      <sharedItems containsSemiMixedTypes="0" containsNonDate="0" containsString="0"/>
    </cacheField>
    <cacheField name="[Measures].[Average of patient_satisfaction_score]" caption="Average of patient_satisfaction_score" numFmtId="0" hierarchy="28"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patients_data_500].[patient_id]" caption="patient_id" attribute="1" defaultMemberUniqueName="[patients_data_500].[patient_id].[All]" allUniqueName="[patients_data_500].[patient_id].[All]" dimensionUniqueName="[patients_data_500]" displayFolder="" count="0" memberValueDatatype="130" unbalanced="0"/>
    <cacheHierarchy uniqueName="[patients_data_500].[patient_admission_date]" caption="patient_admission_date" attribute="1" time="1" defaultMemberUniqueName="[patients_data_500].[patient_admission_date].[All]" allUniqueName="[patients_data_500].[patient_admission_date].[All]" dimensionUniqueName="[patients_data_500]" displayFolder="" count="0" memberValueDatatype="7" unbalanced="0"/>
    <cacheHierarchy uniqueName="[patients_data_500].[patient_admission_time]" caption="patient_admission_time" attribute="1" time="1" defaultMemberUniqueName="[patients_data_500].[patient_admission_time].[All]" allUniqueName="[patients_data_500].[patient_admission_time].[All]" dimensionUniqueName="[patients_data_500]" displayFolder="" count="0" memberValueDatatype="7" unbalanced="0"/>
    <cacheHierarchy uniqueName="[patients_data_500].[Merged]" caption="Merged" attribute="1" defaultMemberUniqueName="[patients_data_500].[Merged].[All]" allUniqueName="[patients_data_500].[Merged].[All]" dimensionUniqueName="[patients_data_500]" displayFolder="" count="0" memberValueDatatype="130" unbalanced="0"/>
    <cacheHierarchy uniqueName="[patients_data_500].[patient_gender]" caption="patient_gender" attribute="1" defaultMemberUniqueName="[patients_data_500].[patient_gender].[All]" allUniqueName="[patients_data_500].[patient_gender].[All]" dimensionUniqueName="[patients_data_500]" displayFolder="" count="0" memberValueDatatype="130" unbalanced="0"/>
    <cacheHierarchy uniqueName="[patients_data_500].[patient_age]" caption="patient_age" attribute="1" defaultMemberUniqueName="[patients_data_500].[patient_age].[All]" allUniqueName="[patients_data_500].[patient_age].[All]" dimensionUniqueName="[patients_data_500]" displayFolder="" count="0" memberValueDatatype="20" unbalanced="0"/>
    <cacheHierarchy uniqueName="[patients_data_500].[patient_race]" caption="patient_race" attribute="1" defaultMemberUniqueName="[patients_data_500].[patient_race].[All]" allUniqueName="[patients_data_500].[patient_race].[All]" dimensionUniqueName="[patients_data_500]" displayFolder="" count="0" memberValueDatatype="130" unbalanced="0"/>
    <cacheHierarchy uniqueName="[patients_data_500].[department_referral]" caption="department_referral" attribute="1" defaultMemberUniqueName="[patients_data_500].[department_referral].[All]" allUniqueName="[patients_data_500].[department_referral].[All]" dimensionUniqueName="[patients_data_500]" displayFolder="" count="0" memberValueDatatype="130" unbalanced="0"/>
    <cacheHierarchy uniqueName="[patients_data_500].[patient_admission_flag]" caption="patient_admission_flag" attribute="1" defaultMemberUniqueName="[patients_data_500].[patient_admission_flag].[All]" allUniqueName="[patients_data_500].[patient_admission_flag].[All]" dimensionUniqueName="[patients_data_500]" displayFolder="" count="0" memberValueDatatype="130" unbalanced="0"/>
    <cacheHierarchy uniqueName="[patients_data_500].[patient_satisfaction_score]" caption="patient_satisfaction_score" attribute="1" defaultMemberUniqueName="[patients_data_500].[patient_satisfaction_score].[All]" allUniqueName="[patients_data_500].[patient_satisfaction_score].[All]" dimensionUniqueName="[patients_data_500]" displayFolder="" count="0" memberValueDatatype="5" unbalanced="0"/>
    <cacheHierarchy uniqueName="[patients_data_500].[patient_wait_time]" caption="patient_wait_time" attribute="1" defaultMemberUniqueName="[patients_data_500].[patient_wait_time].[All]" allUniqueName="[patients_data_500].[patient_wait_time].[All]" dimensionUniqueName="[patients_data_500]" displayFolder="" count="0" memberValueDatatype="20" unbalanced="0"/>
    <cacheHierarchy uniqueName="[patients_data_500].[age-group]" caption="age-group" attribute="1" defaultMemberUniqueName="[patients_data_500].[age-group].[All]" allUniqueName="[patients_data_500].[age-group].[All]" dimensionUniqueName="[patients_data_500]" displayFolder="" count="0" memberValueDatatype="130" unbalanced="0"/>
    <cacheHierarchy uniqueName="[patients_data_500].[Calculated Column 1]" caption="Calculated Column 1" attribute="1" defaultMemberUniqueName="[patients_data_500].[Calculated Column 1].[All]" allUniqueName="[patients_data_500].[Calculated Column 1].[All]" dimensionUniqueName="[patients_data_500]"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patients_data_500]" caption="__XL_Count patients_data_500" measure="1" displayFolder="" measureGroup="patients_data_500"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_id]" caption="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Distinct Count of patient_id]" caption="Distinct 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Sum of patient_wait_time]" caption="Sum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Average of patient_wait_time]" caption="Average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Sum of patient_satisfaction_score]" caption="Sum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Average of patient_satisfaction_score]" caption="Average of patient_satisfaction_score" measure="1" displayFolder="" measureGroup="patients_data_500"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_admission_flag]" caption="Count of patient_admission_flag" measure="1" displayFolder="" measureGroup="patients_data_500"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patients_data_500"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patients_data_500" count="0" hidden="1">
      <extLst>
        <ext xmlns:x15="http://schemas.microsoft.com/office/spreadsheetml/2010/11/main" uri="{B97F6D7D-B522-45F9-BDA1-12C45D357490}">
          <x15:cacheHierarchy aggregatedColumn="17"/>
        </ext>
      </extLst>
    </cacheHierarchy>
    <cacheHierarchy uniqueName="[Measures].[Count of patient_gender]" caption="Count of patient_gender" measure="1" displayFolder="" measureGroup="patients_data_500" count="0" hidden="1">
      <extLst>
        <ext xmlns:x15="http://schemas.microsoft.com/office/spreadsheetml/2010/11/main" uri="{B97F6D7D-B522-45F9-BDA1-12C45D357490}">
          <x15:cacheHierarchy aggregatedColumn="9"/>
        </ext>
      </extLst>
    </cacheHierarchy>
    <cacheHierarchy uniqueName="[Measures].[Count of department_referral]" caption="Count of department_referral" measure="1" displayFolder="" measureGroup="patients_data_500"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atients_data_500" uniqueName="[patients_data_500]" caption="patients_data_500"/>
  </dimensions>
  <measureGroups count="2">
    <measureGroup name="Calender Table" caption="Calender Table"/>
    <measureGroup name="patients_data_500" caption="patients_data_500"/>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ingh sajwan" refreshedDate="46176.562703009258" createdVersion="5" refreshedVersion="7" minRefreshableVersion="3" recordCount="0" supportSubquery="1" supportAdvancedDrill="1" xr:uid="{1BE5CB3E-D648-41D2-8430-BF61D7FC0613}">
  <cacheSource type="external" connectionId="3"/>
  <cacheFields count="5">
    <cacheField name="[Calender Table].[date (Month)].[date (Month)]" caption="date (Month)" numFmtId="0" hierarchy="1" level="1">
      <sharedItems containsSemiMixedTypes="0" containsNonDate="0" containsString="0"/>
    </cacheField>
    <cacheField name="[Measures].[Count of patient_admission_flag]" caption="Count of patient_admission_flag" numFmtId="0" hierarchy="29" level="32767"/>
    <cacheField name="[patients_data_500].[patient_admission_flag].[patient_admission_flag]" caption="patient_admission_flag" numFmtId="0" hierarchy="13" level="1">
      <sharedItems count="2">
        <s v="Admitted"/>
        <s v="Not Admitted"/>
      </sharedItems>
    </cacheField>
    <cacheField name="[Calender 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patients_data_500].[patient_id]" caption="patient_id" attribute="1" defaultMemberUniqueName="[patients_data_500].[patient_id].[All]" allUniqueName="[patients_data_500].[patient_id].[All]" dimensionUniqueName="[patients_data_500]" displayFolder="" count="0" memberValueDatatype="130" unbalanced="0"/>
    <cacheHierarchy uniqueName="[patients_data_500].[patient_admission_date]" caption="patient_admission_date" attribute="1" time="1" defaultMemberUniqueName="[patients_data_500].[patient_admission_date].[All]" allUniqueName="[patients_data_500].[patient_admission_date].[All]" dimensionUniqueName="[patients_data_500]" displayFolder="" count="0" memberValueDatatype="7" unbalanced="0"/>
    <cacheHierarchy uniqueName="[patients_data_500].[patient_admission_time]" caption="patient_admission_time" attribute="1" time="1" defaultMemberUniqueName="[patients_data_500].[patient_admission_time].[All]" allUniqueName="[patients_data_500].[patient_admission_time].[All]" dimensionUniqueName="[patients_data_500]" displayFolder="" count="0" memberValueDatatype="7" unbalanced="0"/>
    <cacheHierarchy uniqueName="[patients_data_500].[Merged]" caption="Merged" attribute="1" defaultMemberUniqueName="[patients_data_500].[Merged].[All]" allUniqueName="[patients_data_500].[Merged].[All]" dimensionUniqueName="[patients_data_500]" displayFolder="" count="0" memberValueDatatype="130" unbalanced="0"/>
    <cacheHierarchy uniqueName="[patients_data_500].[patient_gender]" caption="patient_gender" attribute="1" defaultMemberUniqueName="[patients_data_500].[patient_gender].[All]" allUniqueName="[patients_data_500].[patient_gender].[All]" dimensionUniqueName="[patients_data_500]" displayFolder="" count="0" memberValueDatatype="130" unbalanced="0"/>
    <cacheHierarchy uniqueName="[patients_data_500].[patient_age]" caption="patient_age" attribute="1" defaultMemberUniqueName="[patients_data_500].[patient_age].[All]" allUniqueName="[patients_data_500].[patient_age].[All]" dimensionUniqueName="[patients_data_500]" displayFolder="" count="0" memberValueDatatype="20" unbalanced="0"/>
    <cacheHierarchy uniqueName="[patients_data_500].[patient_race]" caption="patient_race" attribute="1" defaultMemberUniqueName="[patients_data_500].[patient_race].[All]" allUniqueName="[patients_data_500].[patient_race].[All]" dimensionUniqueName="[patients_data_500]" displayFolder="" count="0" memberValueDatatype="130" unbalanced="0"/>
    <cacheHierarchy uniqueName="[patients_data_500].[department_referral]" caption="department_referral" attribute="1" defaultMemberUniqueName="[patients_data_500].[department_referral].[All]" allUniqueName="[patients_data_500].[department_referral].[All]" dimensionUniqueName="[patients_data_500]" displayFolder="" count="0" memberValueDatatype="130" unbalanced="0"/>
    <cacheHierarchy uniqueName="[patients_data_500].[patient_admission_flag]" caption="patient_admission_flag" attribute="1" defaultMemberUniqueName="[patients_data_500].[patient_admission_flag].[All]" allUniqueName="[patients_data_500].[patient_admission_flag].[All]" dimensionUniqueName="[patients_data_500]" displayFolder="" count="2" memberValueDatatype="130" unbalanced="0">
      <fieldsUsage count="2">
        <fieldUsage x="-1"/>
        <fieldUsage x="2"/>
      </fieldsUsage>
    </cacheHierarchy>
    <cacheHierarchy uniqueName="[patients_data_500].[patient_satisfaction_score]" caption="patient_satisfaction_score" attribute="1" defaultMemberUniqueName="[patients_data_500].[patient_satisfaction_score].[All]" allUniqueName="[patients_data_500].[patient_satisfaction_score].[All]" dimensionUniqueName="[patients_data_500]" displayFolder="" count="0" memberValueDatatype="5" unbalanced="0"/>
    <cacheHierarchy uniqueName="[patients_data_500].[patient_wait_time]" caption="patient_wait_time" attribute="1" defaultMemberUniqueName="[patients_data_500].[patient_wait_time].[All]" allUniqueName="[patients_data_500].[patient_wait_time].[All]" dimensionUniqueName="[patients_data_500]" displayFolder="" count="0" memberValueDatatype="20" unbalanced="0"/>
    <cacheHierarchy uniqueName="[patients_data_500].[age-group]" caption="age-group" attribute="1" defaultMemberUniqueName="[patients_data_500].[age-group].[All]" allUniqueName="[patients_data_500].[age-group].[All]" dimensionUniqueName="[patients_data_500]" displayFolder="" count="0" memberValueDatatype="130" unbalanced="0"/>
    <cacheHierarchy uniqueName="[patients_data_500].[Calculated Column 1]" caption="Calculated Column 1" attribute="1" defaultMemberUniqueName="[patients_data_500].[Calculated Column 1].[All]" allUniqueName="[patients_data_500].[Calculated Column 1].[All]" dimensionUniqueName="[patients_data_500]"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patients_data_500]" caption="__XL_Count patients_data_500" measure="1" displayFolder="" measureGroup="patients_data_500"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_id]" caption="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Distinct Count of patient_id]" caption="Distinct 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Sum of patient_wait_time]" caption="Sum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Average of patient_wait_time]" caption="Average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Sum of patient_satisfaction_score]" caption="Sum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Average of patient_satisfaction_score]" caption="Average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Count of patient_admission_flag]" caption="Count of patient_admission_flag" measure="1" displayFolder="" measureGroup="patients_data_500"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patients_data_500"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patients_data_500" count="0" hidden="1">
      <extLst>
        <ext xmlns:x15="http://schemas.microsoft.com/office/spreadsheetml/2010/11/main" uri="{B97F6D7D-B522-45F9-BDA1-12C45D357490}">
          <x15:cacheHierarchy aggregatedColumn="17"/>
        </ext>
      </extLst>
    </cacheHierarchy>
    <cacheHierarchy uniqueName="[Measures].[Count of patient_gender]" caption="Count of patient_gender" measure="1" displayFolder="" measureGroup="patients_data_500" count="0" hidden="1">
      <extLst>
        <ext xmlns:x15="http://schemas.microsoft.com/office/spreadsheetml/2010/11/main" uri="{B97F6D7D-B522-45F9-BDA1-12C45D357490}">
          <x15:cacheHierarchy aggregatedColumn="9"/>
        </ext>
      </extLst>
    </cacheHierarchy>
    <cacheHierarchy uniqueName="[Measures].[Count of department_referral]" caption="Count of department_referral" measure="1" displayFolder="" measureGroup="patients_data_500"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measure="1" name="Measures" uniqueName="[Measures]" caption="Measures"/>
    <dimension name="patients_data_500" uniqueName="[patients_data_500]" caption="patients_data_500"/>
  </dimensions>
  <measureGroups count="2">
    <measureGroup name="Calender Table" caption="Calender Table"/>
    <measureGroup name="patients_data_500" caption="patients_data_500"/>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ingh sajwan" refreshedDate="46176.562703587966" createdVersion="5" refreshedVersion="7" minRefreshableVersion="3" recordCount="0" supportSubquery="1" supportAdvancedDrill="1" xr:uid="{EF39FAB0-A9DA-47B2-90FB-82129E96A8B4}">
  <cacheSource type="external" connectionId="3"/>
  <cacheFields count="4">
    <cacheField name="[Calender Table].[date (Month)].[date (Month)]" caption="date (Month)" numFmtId="0" hierarchy="1" level="1">
      <sharedItems containsSemiMixedTypes="0" containsNonDate="0" containsString="0"/>
    </cacheField>
    <cacheField name="[Measures].[Count of age-group]" caption="Count of age-group" numFmtId="0" hierarchy="30" level="32767"/>
    <cacheField name="[patients_data_500].[age-group].[age-group]" caption="age-group" numFmtId="0" hierarchy="16" level="1">
      <sharedItems count="6">
        <s v="10-19"/>
        <s v="20-29"/>
        <s v="30-39"/>
        <s v="50-59"/>
        <s v="60-69"/>
        <s v="70-79"/>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patients_data_500].[patient_id]" caption="patient_id" attribute="1" defaultMemberUniqueName="[patients_data_500].[patient_id].[All]" allUniqueName="[patients_data_500].[patient_id].[All]" dimensionUniqueName="[patients_data_500]" displayFolder="" count="0" memberValueDatatype="130" unbalanced="0"/>
    <cacheHierarchy uniqueName="[patients_data_500].[patient_admission_date]" caption="patient_admission_date" attribute="1" time="1" defaultMemberUniqueName="[patients_data_500].[patient_admission_date].[All]" allUniqueName="[patients_data_500].[patient_admission_date].[All]" dimensionUniqueName="[patients_data_500]" displayFolder="" count="0" memberValueDatatype="7" unbalanced="0"/>
    <cacheHierarchy uniqueName="[patients_data_500].[patient_admission_time]" caption="patient_admission_time" attribute="1" time="1" defaultMemberUniqueName="[patients_data_500].[patient_admission_time].[All]" allUniqueName="[patients_data_500].[patient_admission_time].[All]" dimensionUniqueName="[patients_data_500]" displayFolder="" count="0" memberValueDatatype="7" unbalanced="0"/>
    <cacheHierarchy uniqueName="[patients_data_500].[Merged]" caption="Merged" attribute="1" defaultMemberUniqueName="[patients_data_500].[Merged].[All]" allUniqueName="[patients_data_500].[Merged].[All]" dimensionUniqueName="[patients_data_500]" displayFolder="" count="0" memberValueDatatype="130" unbalanced="0"/>
    <cacheHierarchy uniqueName="[patients_data_500].[patient_gender]" caption="patient_gender" attribute="1" defaultMemberUniqueName="[patients_data_500].[patient_gender].[All]" allUniqueName="[patients_data_500].[patient_gender].[All]" dimensionUniqueName="[patients_data_500]" displayFolder="" count="0" memberValueDatatype="130" unbalanced="0"/>
    <cacheHierarchy uniqueName="[patients_data_500].[patient_age]" caption="patient_age" attribute="1" defaultMemberUniqueName="[patients_data_500].[patient_age].[All]" allUniqueName="[patients_data_500].[patient_age].[All]" dimensionUniqueName="[patients_data_500]" displayFolder="" count="0" memberValueDatatype="20" unbalanced="0"/>
    <cacheHierarchy uniqueName="[patients_data_500].[patient_race]" caption="patient_race" attribute="1" defaultMemberUniqueName="[patients_data_500].[patient_race].[All]" allUniqueName="[patients_data_500].[patient_race].[All]" dimensionUniqueName="[patients_data_500]" displayFolder="" count="0" memberValueDatatype="130" unbalanced="0"/>
    <cacheHierarchy uniqueName="[patients_data_500].[department_referral]" caption="department_referral" attribute="1" defaultMemberUniqueName="[patients_data_500].[department_referral].[All]" allUniqueName="[patients_data_500].[department_referral].[All]" dimensionUniqueName="[patients_data_500]" displayFolder="" count="0" memberValueDatatype="130" unbalanced="0"/>
    <cacheHierarchy uniqueName="[patients_data_500].[patient_admission_flag]" caption="patient_admission_flag" attribute="1" defaultMemberUniqueName="[patients_data_500].[patient_admission_flag].[All]" allUniqueName="[patients_data_500].[patient_admission_flag].[All]" dimensionUniqueName="[patients_data_500]" displayFolder="" count="0" memberValueDatatype="130" unbalanced="0"/>
    <cacheHierarchy uniqueName="[patients_data_500].[patient_satisfaction_score]" caption="patient_satisfaction_score" attribute="1" defaultMemberUniqueName="[patients_data_500].[patient_satisfaction_score].[All]" allUniqueName="[patients_data_500].[patient_satisfaction_score].[All]" dimensionUniqueName="[patients_data_500]" displayFolder="" count="0" memberValueDatatype="5" unbalanced="0"/>
    <cacheHierarchy uniqueName="[patients_data_500].[patient_wait_time]" caption="patient_wait_time" attribute="1" defaultMemberUniqueName="[patients_data_500].[patient_wait_time].[All]" allUniqueName="[patients_data_500].[patient_wait_time].[All]" dimensionUniqueName="[patients_data_500]" displayFolder="" count="0" memberValueDatatype="20" unbalanced="0"/>
    <cacheHierarchy uniqueName="[patients_data_500].[age-group]" caption="age-group" attribute="1" defaultMemberUniqueName="[patients_data_500].[age-group].[All]" allUniqueName="[patients_data_500].[age-group].[All]" dimensionUniqueName="[patients_data_500]" displayFolder="" count="2" memberValueDatatype="130" unbalanced="0">
      <fieldsUsage count="2">
        <fieldUsage x="-1"/>
        <fieldUsage x="2"/>
      </fieldsUsage>
    </cacheHierarchy>
    <cacheHierarchy uniqueName="[patients_data_500].[Calculated Column 1]" caption="Calculated Column 1" attribute="1" defaultMemberUniqueName="[patients_data_500].[Calculated Column 1].[All]" allUniqueName="[patients_data_500].[Calculated Column 1].[All]" dimensionUniqueName="[patients_data_500]"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patients_data_500]" caption="__XL_Count patients_data_500" measure="1" displayFolder="" measureGroup="patients_data_500"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_id]" caption="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Distinct Count of patient_id]" caption="Distinct 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Sum of patient_wait_time]" caption="Sum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Average of patient_wait_time]" caption="Average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Sum of patient_satisfaction_score]" caption="Sum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Average of patient_satisfaction_score]" caption="Average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Count of patient_admission_flag]" caption="Count of patient_admission_flag" measure="1" displayFolder="" measureGroup="patients_data_500"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patients_data_500"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patients_data_500" count="0" hidden="1">
      <extLst>
        <ext xmlns:x15="http://schemas.microsoft.com/office/spreadsheetml/2010/11/main" uri="{B97F6D7D-B522-45F9-BDA1-12C45D357490}">
          <x15:cacheHierarchy aggregatedColumn="17"/>
        </ext>
      </extLst>
    </cacheHierarchy>
    <cacheHierarchy uniqueName="[Measures].[Count of patient_gender]" caption="Count of patient_gender" measure="1" displayFolder="" measureGroup="patients_data_500" count="0" hidden="1">
      <extLst>
        <ext xmlns:x15="http://schemas.microsoft.com/office/spreadsheetml/2010/11/main" uri="{B97F6D7D-B522-45F9-BDA1-12C45D357490}">
          <x15:cacheHierarchy aggregatedColumn="9"/>
        </ext>
      </extLst>
    </cacheHierarchy>
    <cacheHierarchy uniqueName="[Measures].[Count of department_referral]" caption="Count of department_referral" measure="1" displayFolder="" measureGroup="patients_data_500"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atients_data_500" uniqueName="[patients_data_500]" caption="patients_data_500"/>
  </dimensions>
  <measureGroups count="2">
    <measureGroup name="Calender Table" caption="Calender Table"/>
    <measureGroup name="patients_data_500" caption="patients_data_500"/>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ingh sajwan" refreshedDate="46176.551918634257" createdVersion="3" refreshedVersion="7" minRefreshableVersion="3" recordCount="0" supportSubquery="1" supportAdvancedDrill="1" xr:uid="{02788581-7325-4F97-B184-612EC777F921}">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patients_data_500].[patient_id]" caption="patient_id" attribute="1" defaultMemberUniqueName="[patients_data_500].[patient_id].[All]" allUniqueName="[patients_data_500].[patient_id].[All]" dimensionUniqueName="[patients_data_500]" displayFolder="" count="0" memberValueDatatype="130" unbalanced="0"/>
    <cacheHierarchy uniqueName="[patients_data_500].[patient_admission_date]" caption="patient_admission_date" attribute="1" time="1" defaultMemberUniqueName="[patients_data_500].[patient_admission_date].[All]" allUniqueName="[patients_data_500].[patient_admission_date].[All]" dimensionUniqueName="[patients_data_500]" displayFolder="" count="0" memberValueDatatype="7" unbalanced="0"/>
    <cacheHierarchy uniqueName="[patients_data_500].[patient_admission_time]" caption="patient_admission_time" attribute="1" time="1" defaultMemberUniqueName="[patients_data_500].[patient_admission_time].[All]" allUniqueName="[patients_data_500].[patient_admission_time].[All]" dimensionUniqueName="[patients_data_500]" displayFolder="" count="0" memberValueDatatype="7" unbalanced="0"/>
    <cacheHierarchy uniqueName="[patients_data_500].[Merged]" caption="Merged" attribute="1" defaultMemberUniqueName="[patients_data_500].[Merged].[All]" allUniqueName="[patients_data_500].[Merged].[All]" dimensionUniqueName="[patients_data_500]" displayFolder="" count="0" memberValueDatatype="130" unbalanced="0"/>
    <cacheHierarchy uniqueName="[patients_data_500].[patient_gender]" caption="patient_gender" attribute="1" defaultMemberUniqueName="[patients_data_500].[patient_gender].[All]" allUniqueName="[patients_data_500].[patient_gender].[All]" dimensionUniqueName="[patients_data_500]" displayFolder="" count="0" memberValueDatatype="130" unbalanced="0"/>
    <cacheHierarchy uniqueName="[patients_data_500].[patient_age]" caption="patient_age" attribute="1" defaultMemberUniqueName="[patients_data_500].[patient_age].[All]" allUniqueName="[patients_data_500].[patient_age].[All]" dimensionUniqueName="[patients_data_500]" displayFolder="" count="0" memberValueDatatype="20" unbalanced="0"/>
    <cacheHierarchy uniqueName="[patients_data_500].[patient_race]" caption="patient_race" attribute="1" defaultMemberUniqueName="[patients_data_500].[patient_race].[All]" allUniqueName="[patients_data_500].[patient_race].[All]" dimensionUniqueName="[patients_data_500]" displayFolder="" count="0" memberValueDatatype="130" unbalanced="0"/>
    <cacheHierarchy uniqueName="[patients_data_500].[department_referral]" caption="department_referral" attribute="1" defaultMemberUniqueName="[patients_data_500].[department_referral].[All]" allUniqueName="[patients_data_500].[department_referral].[All]" dimensionUniqueName="[patients_data_500]" displayFolder="" count="0" memberValueDatatype="130" unbalanced="0"/>
    <cacheHierarchy uniqueName="[patients_data_500].[patient_admission_flag]" caption="patient_admission_flag" attribute="1" defaultMemberUniqueName="[patients_data_500].[patient_admission_flag].[All]" allUniqueName="[patients_data_500].[patient_admission_flag].[All]" dimensionUniqueName="[patients_data_500]" displayFolder="" count="0" memberValueDatatype="130" unbalanced="0"/>
    <cacheHierarchy uniqueName="[patients_data_500].[patient_satisfaction_score]" caption="patient_satisfaction_score" attribute="1" defaultMemberUniqueName="[patients_data_500].[patient_satisfaction_score].[All]" allUniqueName="[patients_data_500].[patient_satisfaction_score].[All]" dimensionUniqueName="[patients_data_500]" displayFolder="" count="0" memberValueDatatype="5" unbalanced="0"/>
    <cacheHierarchy uniqueName="[patients_data_500].[patient_wait_time]" caption="patient_wait_time" attribute="1" defaultMemberUniqueName="[patients_data_500].[patient_wait_time].[All]" allUniqueName="[patients_data_500].[patient_wait_time].[All]" dimensionUniqueName="[patients_data_500]" displayFolder="" count="0" memberValueDatatype="20" unbalanced="0"/>
    <cacheHierarchy uniqueName="[patients_data_500].[age-group]" caption="age-group" attribute="1" defaultMemberUniqueName="[patients_data_500].[age-group].[All]" allUniqueName="[patients_data_500].[age-group].[All]" dimensionUniqueName="[patients_data_500]" displayFolder="" count="0" memberValueDatatype="130" unbalanced="0"/>
    <cacheHierarchy uniqueName="[patients_data_500].[Calculated Column 1]" caption="Calculated Column 1" attribute="1" defaultMemberUniqueName="[patients_data_500].[Calculated Column 1].[All]" allUniqueName="[patients_data_500].[Calculated Column 1].[All]" dimensionUniqueName="[patients_data_500]"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patients_data_500]" caption="__XL_Count patients_data_500" measure="1" displayFolder="" measureGroup="patients_data_500"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_id]" caption="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Distinct Count of patient_id]" caption="Distinct Count of patient_id" measure="1" displayFolder="" measureGroup="patients_data_500" count="0" hidden="1">
      <extLst>
        <ext xmlns:x15="http://schemas.microsoft.com/office/spreadsheetml/2010/11/main" uri="{B97F6D7D-B522-45F9-BDA1-12C45D357490}">
          <x15:cacheHierarchy aggregatedColumn="5"/>
        </ext>
      </extLst>
    </cacheHierarchy>
    <cacheHierarchy uniqueName="[Measures].[Sum of patient_wait_time]" caption="Sum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Average of patient_wait_time]" caption="Average of patient_wait_time" measure="1" displayFolder="" measureGroup="patients_data_500" count="0" hidden="1">
      <extLst>
        <ext xmlns:x15="http://schemas.microsoft.com/office/spreadsheetml/2010/11/main" uri="{B97F6D7D-B522-45F9-BDA1-12C45D357490}">
          <x15:cacheHierarchy aggregatedColumn="15"/>
        </ext>
      </extLst>
    </cacheHierarchy>
    <cacheHierarchy uniqueName="[Measures].[Sum of patient_satisfaction_score]" caption="Sum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Average of patient_satisfaction_score]" caption="Average of patient_satisfaction_score" measure="1" displayFolder="" measureGroup="patients_data_500" count="0" hidden="1">
      <extLst>
        <ext xmlns:x15="http://schemas.microsoft.com/office/spreadsheetml/2010/11/main" uri="{B97F6D7D-B522-45F9-BDA1-12C45D357490}">
          <x15:cacheHierarchy aggregatedColumn="14"/>
        </ext>
      </extLst>
    </cacheHierarchy>
    <cacheHierarchy uniqueName="[Measures].[Count of patient_admission_flag]" caption="Count of patient_admission_flag" measure="1" displayFolder="" measureGroup="patients_data_500" count="0" hidden="1">
      <extLst>
        <ext xmlns:x15="http://schemas.microsoft.com/office/spreadsheetml/2010/11/main" uri="{B97F6D7D-B522-45F9-BDA1-12C45D357490}">
          <x15:cacheHierarchy aggregatedColumn="13"/>
        </ext>
      </extLst>
    </cacheHierarchy>
    <cacheHierarchy uniqueName="[Measures].[Count of age-group]" caption="Count of age-group" measure="1" displayFolder="" measureGroup="patients_data_500"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patients_data_500" count="0" hidden="1">
      <extLst>
        <ext xmlns:x15="http://schemas.microsoft.com/office/spreadsheetml/2010/11/main" uri="{B97F6D7D-B522-45F9-BDA1-12C45D357490}">
          <x15:cacheHierarchy aggregatedColumn="17"/>
        </ext>
      </extLst>
    </cacheHierarchy>
    <cacheHierarchy uniqueName="[Measures].[Count of patient_gender]" caption="Count of patient_gender" measure="1" displayFolder="" measureGroup="patients_data_500" count="0" hidden="1">
      <extLst>
        <ext xmlns:x15="http://schemas.microsoft.com/office/spreadsheetml/2010/11/main" uri="{B97F6D7D-B522-45F9-BDA1-12C45D357490}">
          <x15:cacheHierarchy aggregatedColumn="9"/>
        </ext>
      </extLst>
    </cacheHierarchy>
    <cacheHierarchy uniqueName="[Measures].[Count of department_referral]" caption="Count of department_referral" measure="1" displayFolder="" measureGroup="patients_data_500"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175430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B93323-AB69-4E55-A20B-815177DF2E21}" name="PivotTable13" cacheId="797" applyNumberFormats="0" applyBorderFormats="0" applyFontFormats="0" applyPatternFormats="0" applyAlignmentFormats="0" applyWidthHeightFormats="1" dataCaption="Values" tag="9df11dc2-99f5-48ec-a55b-ad87a3d5a574" updatedVersion="7" minRefreshableVersion="3" subtotalHiddenItems="1" itemPrintTitles="1" createdVersion="5" indent="0" outline="1" outlineData="1" multipleFieldFilters="0" chartFormat="20">
  <location ref="A35:A3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0">
      <pivotArea outline="0" collapsedLevelsAreSubtotals="1" fieldPosition="0"/>
    </format>
  </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_satisfaction_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_data_500]"/>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173AED-56BA-4370-9D5C-C9695162653D}" name="PivotTable12" cacheId="809" applyNumberFormats="0" applyBorderFormats="0" applyFontFormats="0" applyPatternFormats="0" applyAlignmentFormats="0" applyWidthHeightFormats="1" dataCaption="Values" tag="9df11dc2-99f5-48ec-a55b-ad87a3d5a574" updatedVersion="7" minRefreshableVersion="3" subtotalHiddenItems="1" itemPrintTitles="1" createdVersion="5" indent="0" outline="1" outlineData="1" multipleFieldFilters="0" chartFormat="20">
  <location ref="O42:P5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3">
    <i>
      <x v="2"/>
    </i>
    <i>
      <x v="7"/>
    </i>
    <i>
      <x v="10"/>
    </i>
    <i>
      <x v="6"/>
    </i>
    <i>
      <x v="11"/>
    </i>
    <i>
      <x v="3"/>
    </i>
    <i>
      <x/>
    </i>
    <i>
      <x v="5"/>
    </i>
    <i>
      <x v="1"/>
    </i>
    <i>
      <x v="4"/>
    </i>
    <i>
      <x v="8"/>
    </i>
    <i>
      <x v="9"/>
    </i>
    <i t="grand">
      <x/>
    </i>
  </rowItems>
  <colItems count="1">
    <i/>
  </colItems>
  <dataFields count="1">
    <dataField name="Count of department_referral" fld="1" subtotal="count" baseField="0" baseItem="0"/>
  </dataFields>
  <formats count="1">
    <format dxfId="1">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_satisfaction_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_data_500]"/>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66306D-94C2-4D61-A9C4-3938024A4C66}" name="PivotTable11" cacheId="806" applyNumberFormats="0" applyBorderFormats="0" applyFontFormats="0" applyPatternFormats="0" applyAlignmentFormats="0" applyWidthHeightFormats="1" dataCaption="Values" tag="9df11dc2-99f5-48ec-a55b-ad87a3d5a574" updatedVersion="7" minRefreshableVersion="3" subtotalHiddenItems="1" itemPrintTitles="1" createdVersion="5" indent="0" outline="1" outlineData="1" multipleFieldFilters="0" chartFormat="16">
  <location ref="R30:S3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_gender" fld="2" subtotal="count" baseField="0" baseItem="0"/>
  </dataFields>
  <formats count="1">
    <format dxfId="2">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_satisfaction_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_data_500]"/>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AC5CAD-CB46-4370-AC20-9700FC1B99CE}" name="PivotTable10" cacheId="803" applyNumberFormats="0" applyBorderFormats="0" applyFontFormats="0" applyPatternFormats="0" applyAlignmentFormats="0" applyWidthHeightFormats="1" dataCaption="Values" tag="9df11dc2-99f5-48ec-a55b-ad87a3d5a574" updatedVersion="7" minRefreshableVersion="3" subtotalHiddenItems="1" itemPrintTitles="1" createdVersion="5" indent="0" outline="1" outlineData="1" multipleFieldFilters="0" chartFormat="12">
  <location ref="O36:P3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Calculated Column 1" fld="2" subtotal="count" baseField="0" baseItem="0"/>
  </dataFields>
  <formats count="1">
    <format dxfId="3">
      <pivotArea outline="0" collapsedLevelsAreSubtotals="1" fieldPosition="0"/>
    </format>
  </formats>
  <chartFormats count="9">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_satisfaction_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_data_500]"/>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AC9620-3E73-401D-9E31-D897F75F2F0B}" name="PivotTable9" cacheId="830" applyNumberFormats="0" applyBorderFormats="0" applyFontFormats="0" applyPatternFormats="0" applyAlignmentFormats="0" applyWidthHeightFormats="1" dataCaption="Values" tag="9df11dc2-99f5-48ec-a55b-ad87a3d5a574" updatedVersion="7" minRefreshableVersion="3" itemPrintTitles="1" createdVersion="5" indent="0" outline="1" outlineData="1" multipleFieldFilters="0" chartFormat="8">
  <location ref="L36:M4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Count of age-group" fld="1" subtotal="count" baseField="0" baseItem="0" numFmtId="1"/>
  </dataFields>
  <formats count="1">
    <format dxfId="4">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_satisfaction_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_data_500]"/>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27ABF0-2E0A-46D6-93A6-5141A52DA714}" name="PivotTable8" cacheId="827" applyNumberFormats="0" applyBorderFormats="0" applyFontFormats="0" applyPatternFormats="0" applyAlignmentFormats="0" applyWidthHeightFormats="1" dataCaption="Values" tag="9df11dc2-99f5-48ec-a55b-ad87a3d5a574" updatedVersion="7" minRefreshableVersion="3" itemPrintTitles="1" createdVersion="5" indent="0" outline="1" outlineData="1" multipleFieldFilters="0" chartFormat="1">
  <location ref="M15:O18"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_admission_flag" fld="1" subtotal="count" baseField="0" baseItem="0"/>
    <dataField name="Count of patient_admission_flag2" fld="4" subtotal="count" showDataAs="percentOfTotal" baseField="0" baseItem="0" numFmtId="10">
      <extLst>
        <ext xmlns:x14="http://schemas.microsoft.com/office/spreadsheetml/2009/9/main" uri="{E15A36E0-9728-4e99-A89B-3F7291B0FE68}">
          <x14:dataField sourceField="1" uniqueName="[__Xl2].[Measures].[Count of patient_admission_flag]"/>
        </ext>
      </extLst>
    </dataField>
  </dataFields>
  <formats count="3">
    <format dxfId="7">
      <pivotArea outline="0" collapsedLevelsAreSubtotals="1" fieldPosition="0"/>
    </format>
    <format dxfId="6">
      <pivotArea collapsedLevelsAreSubtotals="1" fieldPosition="0">
        <references count="1">
          <reference field="2" count="0"/>
        </references>
      </pivotArea>
    </format>
    <format dxfId="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_satisfaction_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_data_500]"/>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90A375-6AFF-4CF6-81F8-0E5E4CD93170}" name="PivotTable5" cacheId="821" applyNumberFormats="0" applyBorderFormats="0" applyFontFormats="0" applyPatternFormats="0" applyAlignmentFormats="0" applyWidthHeightFormats="1" dataCaption="Values" tag="387e33c8-4628-4681-b88c-7e886a169361" updatedVersion="7" minRefreshableVersion="3" useAutoFormatting="1" subtotalHiddenItems="1" itemPrintTitles="1" createdVersion="5" indent="0" outline="1" outlineData="1" multipleFieldFilters="0" chartFormat="20">
  <location ref="G4:H22" firstHeaderRow="1" firstDataRow="1"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Average of patient_wait_time" fld="2" subtotal="average" baseField="0" baseItem="0"/>
  </dataFields>
  <formats count="1">
    <format dxfId="8">
      <pivotArea collapsedLevelsAreSubtotals="1" fieldPosition="0">
        <references count="1">
          <reference field="0" count="0"/>
        </references>
      </pivotArea>
    </format>
  </formats>
  <chartFormats count="5">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_data_500]"/>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695339-02C9-4841-92F3-A5DB9335C1FF}" name="PivotTable4" cacheId="818" applyNumberFormats="0" applyBorderFormats="0" applyFontFormats="0" applyPatternFormats="0" applyAlignmentFormats="0" applyWidthHeightFormats="1" dataCaption="Values" tag="387e33c8-4628-4681-b88c-7e886a169361" updatedVersion="7" minRefreshableVersion="3" useAutoFormatting="1" subtotalHiddenItems="1" itemPrintTitles="1" createdVersion="5" indent="0" outline="1" outlineData="1" multipleFieldFilters="0" chartFormat="8">
  <location ref="B6:C24" firstHeaderRow="1" firstDataRow="1" firstDataCol="1"/>
  <pivotFields count="4">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Distinct Count of patient_id" fld="0" subtotal="count" baseField="0" baseItem="0">
      <extLst>
        <ext xmlns:x15="http://schemas.microsoft.com/office/spreadsheetml/2010/11/main" uri="{FABC7310-3BB5-11E1-824E-6D434824019B}">
          <x15:dataField isCountDistinct="1"/>
        </ext>
      </extLst>
    </dataField>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_data_500]"/>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F8A9B8-5D59-4CB5-BB01-56FE3DD41C73}" name="PivotTable1" cacheId="800" applyNumberFormats="0" applyBorderFormats="0" applyFontFormats="0" applyPatternFormats="0" applyAlignmentFormats="0" applyWidthHeightFormats="1" dataCaption="Values" tag="58d0f0f1-db9a-4357-abdc-98dd8cd9300e" updatedVersion="7" minRefreshableVersion="3" useAutoFormatting="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_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_data_5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DFEB0B-65F4-4D77-8F02-88AD3E3B7A5A}" name="PivotTable3" cacheId="815" applyNumberFormats="0" applyBorderFormats="0" applyFontFormats="0" applyPatternFormats="0" applyAlignmentFormats="0" applyWidthHeightFormats="1" dataCaption="Values" tag="9df11dc2-99f5-48ec-a55b-ad87a3d5a574" updatedVersion="7" minRefreshableVersion="3" useAutoFormatting="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_satisfaction_score" fld="0" subtotal="average" baseField="0" baseItem="0" numFmtId="2"/>
  </dataFields>
  <formats count="1">
    <format dxfId="9">
      <pivotArea outline="0" collapsedLevelsAreSubtotals="1" fieldPosition="0"/>
    </format>
  </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_satisfaction_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_data_5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42D11D-4EDC-4195-8BB4-1349D44CBDAA}" name="PivotTable6" cacheId="824" applyNumberFormats="0" applyBorderFormats="0" applyFontFormats="0" applyPatternFormats="0" applyAlignmentFormats="0" applyWidthHeightFormats="1" dataCaption="Values" tag="387e33c8-4628-4681-b88c-7e886a169361" updatedVersion="7" minRefreshableVersion="3" useAutoFormatting="1" subtotalHiddenItems="1" itemPrintTitles="1" createdVersion="5" indent="0" outline="1" outlineData="1" multipleFieldFilters="0" chartFormat="27">
  <location ref="J4:K22" firstHeaderRow="1" firstDataRow="1"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Average of patient_satisfaction_score" fld="2" subtotal="average" baseField="0" baseItem="0"/>
  </dataFields>
  <formats count="1">
    <format dxfId="10">
      <pivotArea collapsedLevelsAreSubtotals="1" fieldPosition="0">
        <references count="1">
          <reference field="0" count="0"/>
        </references>
      </pivotArea>
    </format>
  </formats>
  <chartFormats count="2">
    <chartFormat chart="23"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caption="Average of patient_satisfaction_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_data_500]"/>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0AD973-5B30-43B4-A65A-6E29313D7681}" name="PivotTable2" cacheId="812" applyNumberFormats="0" applyBorderFormats="0" applyFontFormats="0" applyPatternFormats="0" applyAlignmentFormats="0" applyWidthHeightFormats="1" dataCaption="Values" tag="3065460b-4af5-4e88-b6d2-e0f815d881e4" updatedVersion="7" minRefreshableVersion="3" useAutoFormatting="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_wait_time" fld="0" subtotal="average" baseField="0" baseItem="0" numFmtId="2"/>
  </dataFields>
  <formats count="1">
    <format dxfId="11">
      <pivotArea outline="0" collapsedLevelsAreSubtotals="1" fieldPosition="0"/>
    </format>
  </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_wait_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_data_500]"/>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905437A-58F0-478A-911F-B1B4493A7B1A}" sourceName="[Calender 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9"/>
    <pivotTable tabId="1" name="PivotTable10"/>
    <pivotTable tabId="1" name="PivotTable11"/>
    <pivotTable tabId="1" name="PivotTable12"/>
    <pivotTable tabId="1" name="PivotTable13"/>
  </pivotTables>
  <data>
    <olap pivotCacheId="317543069">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2E5BDB2-A035-4093-A051-71C994F8DB92}" sourceName="[Calender 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317543069">
      <levels count="2">
        <level uniqueName="[Calender Table].[date (Year)].[(All)]" sourceCaption="(All)" count="0"/>
        <level uniqueName="[Calender Table].[date (Year)].[date (Year)]" sourceCaption="date (Year)" count="2">
          <ranges>
            <range startItem="0">
              <i n="[Calender Table].[date (Year)].&amp;[2024]" c="2024"/>
              <i n="[Calender Table].[date (Year)].&amp;[2025]" c="2025"/>
            </range>
          </ranges>
        </level>
      </levels>
      <selections count="1">
        <selection n="[Calender Table].[date (Year)].&amp;[202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03F0B3D-16E7-49DE-8F8D-09AFFFF201A4}" cache="Slicer_date__Month" caption="date (Month)" columnCount="2" showCaption="0" level="1" style="My" rowHeight="396000"/>
  <slicer name="date (Year)" xr10:uid="{7266CE1A-567C-4114-A361-AE35BEDBEA03}" cache="Slicer_date__Year" caption="date (Year)" columnCount="2" showCaption="0" level="1" style="My"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CDFFB-1E39-4E76-A2D9-BFBC41FBAE6F}">
  <dimension ref="D6"/>
  <sheetViews>
    <sheetView zoomScale="129" zoomScaleNormal="104" workbookViewId="0">
      <selection activeCell="O11" sqref="O11"/>
    </sheetView>
  </sheetViews>
  <sheetFormatPr defaultRowHeight="14.5" x14ac:dyDescent="0.35"/>
  <cols>
    <col min="1" max="16384" width="8.7265625" style="3"/>
  </cols>
  <sheetData>
    <row r="6" spans="4:4" x14ac:dyDescent="0.35">
      <c r="D6" s="3" t="s">
        <v>3</v>
      </c>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91559-40B2-47A0-9903-06ABDF5D92B7}">
  <dimension ref="A3:S55"/>
  <sheetViews>
    <sheetView tabSelected="1" workbookViewId="0">
      <selection activeCell="E3" sqref="E3"/>
    </sheetView>
  </sheetViews>
  <sheetFormatPr defaultRowHeight="14.5" x14ac:dyDescent="0.35"/>
  <cols>
    <col min="1" max="1" width="32.81640625" bestFit="1" customWidth="1"/>
    <col min="2" max="2" width="12.36328125" bestFit="1" customWidth="1"/>
    <col min="3" max="3" width="24.26953125" bestFit="1" customWidth="1"/>
    <col min="7" max="7" width="12.36328125" bestFit="1" customWidth="1"/>
    <col min="8" max="8" width="26.08984375" bestFit="1" customWidth="1"/>
    <col min="10" max="10" width="12.36328125" bestFit="1" customWidth="1"/>
    <col min="11" max="11" width="32.81640625" bestFit="1" customWidth="1"/>
    <col min="12" max="12" width="15.08984375" bestFit="1" customWidth="1"/>
    <col min="13" max="13" width="12.36328125" bestFit="1" customWidth="1"/>
    <col min="14" max="14" width="8.453125" customWidth="1"/>
    <col min="15" max="15" width="29.54296875" bestFit="1" customWidth="1"/>
  </cols>
  <sheetData>
    <row r="3" spans="1:15" x14ac:dyDescent="0.35">
      <c r="G3" t="s">
        <v>7</v>
      </c>
      <c r="J3" t="s">
        <v>12</v>
      </c>
    </row>
    <row r="4" spans="1:15" x14ac:dyDescent="0.35">
      <c r="G4" s="4" t="s">
        <v>4</v>
      </c>
      <c r="H4" t="s">
        <v>1</v>
      </c>
      <c r="J4" s="4" t="s">
        <v>4</v>
      </c>
      <c r="K4" t="s">
        <v>2</v>
      </c>
    </row>
    <row r="5" spans="1:15" x14ac:dyDescent="0.35">
      <c r="B5" t="s">
        <v>6</v>
      </c>
      <c r="G5" s="5" t="s">
        <v>50</v>
      </c>
      <c r="H5" s="2">
        <v>118.5</v>
      </c>
      <c r="J5" s="5" t="s">
        <v>50</v>
      </c>
      <c r="K5" s="2">
        <v>4.5999999999999996</v>
      </c>
    </row>
    <row r="6" spans="1:15" x14ac:dyDescent="0.35">
      <c r="A6" t="s">
        <v>0</v>
      </c>
      <c r="B6" s="4" t="s">
        <v>4</v>
      </c>
      <c r="C6" t="s">
        <v>0</v>
      </c>
      <c r="G6" s="5" t="s">
        <v>51</v>
      </c>
      <c r="H6" s="2">
        <v>37</v>
      </c>
      <c r="J6" s="5" t="s">
        <v>51</v>
      </c>
      <c r="K6" s="2">
        <v>5.3</v>
      </c>
    </row>
    <row r="7" spans="1:15" x14ac:dyDescent="0.35">
      <c r="A7" s="1">
        <v>23</v>
      </c>
      <c r="B7" s="5" t="s">
        <v>50</v>
      </c>
      <c r="C7" s="1">
        <v>2</v>
      </c>
      <c r="G7" s="5" t="s">
        <v>58</v>
      </c>
      <c r="H7" s="2">
        <v>31</v>
      </c>
      <c r="J7" s="5" t="s">
        <v>58</v>
      </c>
      <c r="K7" s="2">
        <v>2.5</v>
      </c>
    </row>
    <row r="8" spans="1:15" x14ac:dyDescent="0.35">
      <c r="B8" s="5" t="s">
        <v>51</v>
      </c>
      <c r="C8" s="1">
        <v>1</v>
      </c>
      <c r="G8" s="5" t="s">
        <v>59</v>
      </c>
      <c r="H8" s="2">
        <v>108</v>
      </c>
      <c r="J8" s="5" t="s">
        <v>59</v>
      </c>
      <c r="K8" s="2">
        <v>4.0999999999999996</v>
      </c>
    </row>
    <row r="9" spans="1:15" x14ac:dyDescent="0.35">
      <c r="B9" s="5" t="s">
        <v>58</v>
      </c>
      <c r="C9" s="1">
        <v>1</v>
      </c>
      <c r="G9" s="5" t="s">
        <v>52</v>
      </c>
      <c r="H9" s="2">
        <v>135.5</v>
      </c>
      <c r="J9" s="5" t="s">
        <v>52</v>
      </c>
      <c r="K9" s="2">
        <v>5.9</v>
      </c>
    </row>
    <row r="10" spans="1:15" x14ac:dyDescent="0.35">
      <c r="B10" s="5" t="s">
        <v>59</v>
      </c>
      <c r="C10" s="1">
        <v>1</v>
      </c>
      <c r="G10" s="5" t="s">
        <v>60</v>
      </c>
      <c r="H10" s="2">
        <v>155</v>
      </c>
      <c r="J10" s="5" t="s">
        <v>60</v>
      </c>
      <c r="K10" s="2">
        <v>3.8</v>
      </c>
    </row>
    <row r="11" spans="1:15" x14ac:dyDescent="0.35">
      <c r="A11" t="s">
        <v>1</v>
      </c>
      <c r="B11" s="5" t="s">
        <v>52</v>
      </c>
      <c r="C11" s="1">
        <v>2</v>
      </c>
      <c r="G11" s="5" t="s">
        <v>61</v>
      </c>
      <c r="H11" s="2">
        <v>164</v>
      </c>
      <c r="J11" s="5" t="s">
        <v>61</v>
      </c>
      <c r="K11" s="2">
        <v>5.9</v>
      </c>
    </row>
    <row r="12" spans="1:15" x14ac:dyDescent="0.35">
      <c r="A12" s="2">
        <v>118.82608695652173</v>
      </c>
      <c r="B12" s="5" t="s">
        <v>60</v>
      </c>
      <c r="C12" s="1">
        <v>2</v>
      </c>
      <c r="G12" s="5" t="s">
        <v>62</v>
      </c>
      <c r="H12" s="2">
        <v>123</v>
      </c>
      <c r="J12" s="5" t="s">
        <v>62</v>
      </c>
      <c r="K12" s="2">
        <v>4.9000000000000004</v>
      </c>
    </row>
    <row r="13" spans="1:15" x14ac:dyDescent="0.35">
      <c r="B13" s="5" t="s">
        <v>61</v>
      </c>
      <c r="C13" s="1">
        <v>1</v>
      </c>
      <c r="G13" s="5" t="s">
        <v>63</v>
      </c>
      <c r="H13" s="2">
        <v>71</v>
      </c>
      <c r="J13" s="5" t="s">
        <v>63</v>
      </c>
      <c r="K13" s="2">
        <v>3.4</v>
      </c>
    </row>
    <row r="14" spans="1:15" x14ac:dyDescent="0.35">
      <c r="A14" t="s">
        <v>2</v>
      </c>
      <c r="B14" s="5" t="s">
        <v>62</v>
      </c>
      <c r="C14" s="1">
        <v>2</v>
      </c>
      <c r="G14" s="5" t="s">
        <v>64</v>
      </c>
      <c r="H14" s="2">
        <v>40</v>
      </c>
      <c r="J14" s="5" t="s">
        <v>64</v>
      </c>
      <c r="K14" s="2">
        <v>6.4</v>
      </c>
    </row>
    <row r="15" spans="1:15" x14ac:dyDescent="0.35">
      <c r="A15" s="2">
        <v>5.1826086956521742</v>
      </c>
      <c r="B15" s="5" t="s">
        <v>63</v>
      </c>
      <c r="C15" s="1">
        <v>1</v>
      </c>
      <c r="G15" s="5" t="s">
        <v>53</v>
      </c>
      <c r="H15" s="2">
        <v>94</v>
      </c>
      <c r="J15" s="5" t="s">
        <v>53</v>
      </c>
      <c r="K15" s="2">
        <v>9.4</v>
      </c>
      <c r="M15" s="4" t="s">
        <v>4</v>
      </c>
      <c r="N15" t="s">
        <v>13</v>
      </c>
      <c r="O15" t="s">
        <v>16</v>
      </c>
    </row>
    <row r="16" spans="1:15" x14ac:dyDescent="0.35">
      <c r="B16" s="5" t="s">
        <v>64</v>
      </c>
      <c r="C16" s="1">
        <v>1</v>
      </c>
      <c r="G16" s="5" t="s">
        <v>54</v>
      </c>
      <c r="H16" s="2">
        <v>191</v>
      </c>
      <c r="J16" s="5" t="s">
        <v>54</v>
      </c>
      <c r="K16" s="2">
        <v>4.2</v>
      </c>
      <c r="M16" s="5" t="s">
        <v>14</v>
      </c>
      <c r="N16" s="7">
        <v>11</v>
      </c>
      <c r="O16" s="8">
        <v>0.47826086956521741</v>
      </c>
    </row>
    <row r="17" spans="2:19" x14ac:dyDescent="0.35">
      <c r="B17" s="5" t="s">
        <v>53</v>
      </c>
      <c r="C17" s="1">
        <v>1</v>
      </c>
      <c r="G17" s="5" t="s">
        <v>55</v>
      </c>
      <c r="H17" s="2">
        <v>199</v>
      </c>
      <c r="J17" s="5" t="s">
        <v>55</v>
      </c>
      <c r="K17" s="2">
        <v>6.6</v>
      </c>
      <c r="M17" s="5" t="s">
        <v>15</v>
      </c>
      <c r="N17" s="7">
        <v>12</v>
      </c>
      <c r="O17" s="8">
        <v>0.52173913043478259</v>
      </c>
    </row>
    <row r="18" spans="2:19" x14ac:dyDescent="0.35">
      <c r="B18" s="5" t="s">
        <v>54</v>
      </c>
      <c r="C18" s="1">
        <v>2</v>
      </c>
      <c r="G18" s="5" t="s">
        <v>65</v>
      </c>
      <c r="H18" s="2">
        <v>119</v>
      </c>
      <c r="J18" s="5" t="s">
        <v>65</v>
      </c>
      <c r="K18" s="2">
        <v>8.9</v>
      </c>
      <c r="M18" s="5" t="s">
        <v>5</v>
      </c>
      <c r="N18" s="2">
        <v>23</v>
      </c>
      <c r="O18" s="8">
        <v>1</v>
      </c>
    </row>
    <row r="19" spans="2:19" x14ac:dyDescent="0.35">
      <c r="B19" s="5" t="s">
        <v>55</v>
      </c>
      <c r="C19" s="1">
        <v>1</v>
      </c>
      <c r="G19" s="5" t="s">
        <v>56</v>
      </c>
      <c r="H19" s="2">
        <v>85</v>
      </c>
      <c r="J19" s="5" t="s">
        <v>56</v>
      </c>
      <c r="K19" s="2">
        <v>4.3</v>
      </c>
    </row>
    <row r="20" spans="2:19" x14ac:dyDescent="0.35">
      <c r="B20" s="5" t="s">
        <v>65</v>
      </c>
      <c r="C20" s="1">
        <v>1</v>
      </c>
      <c r="G20" s="5" t="s">
        <v>57</v>
      </c>
      <c r="H20" s="2">
        <v>183</v>
      </c>
      <c r="J20" s="5" t="s">
        <v>57</v>
      </c>
      <c r="K20" s="2">
        <v>7.6</v>
      </c>
    </row>
    <row r="21" spans="2:19" x14ac:dyDescent="0.35">
      <c r="B21" s="5" t="s">
        <v>56</v>
      </c>
      <c r="C21" s="1">
        <v>1</v>
      </c>
      <c r="G21" s="5" t="s">
        <v>66</v>
      </c>
      <c r="H21" s="2">
        <v>78</v>
      </c>
      <c r="J21" s="5" t="s">
        <v>66</v>
      </c>
      <c r="K21" s="2">
        <v>4</v>
      </c>
    </row>
    <row r="22" spans="2:19" x14ac:dyDescent="0.35">
      <c r="B22" s="5" t="s">
        <v>57</v>
      </c>
      <c r="C22" s="1">
        <v>1</v>
      </c>
      <c r="G22" s="5" t="s">
        <v>5</v>
      </c>
      <c r="H22" s="1">
        <v>118.82608695652173</v>
      </c>
      <c r="J22" s="5" t="s">
        <v>5</v>
      </c>
      <c r="K22" s="1">
        <v>5.1826086956521742</v>
      </c>
      <c r="N22" s="9"/>
    </row>
    <row r="23" spans="2:19" x14ac:dyDescent="0.35">
      <c r="B23" s="5" t="s">
        <v>66</v>
      </c>
      <c r="C23" s="1">
        <v>2</v>
      </c>
    </row>
    <row r="24" spans="2:19" x14ac:dyDescent="0.35">
      <c r="B24" s="5" t="s">
        <v>5</v>
      </c>
      <c r="C24" s="1">
        <v>23</v>
      </c>
    </row>
    <row r="26" spans="2:19" x14ac:dyDescent="0.35">
      <c r="L26" s="13" t="s">
        <v>17</v>
      </c>
      <c r="M26" s="13" t="s">
        <v>19</v>
      </c>
      <c r="N26" s="13" t="s">
        <v>18</v>
      </c>
      <c r="O26" s="14"/>
    </row>
    <row r="27" spans="2:19" x14ac:dyDescent="0.35">
      <c r="L27" s="10" t="str">
        <f>M17</f>
        <v>Not Admitted</v>
      </c>
      <c r="M27" s="10">
        <f>N17</f>
        <v>12</v>
      </c>
      <c r="N27" s="11">
        <f>O17</f>
        <v>0.52173913043478259</v>
      </c>
      <c r="O27" s="12"/>
    </row>
    <row r="28" spans="2:19" x14ac:dyDescent="0.35">
      <c r="L28" s="10" t="str">
        <f>M16</f>
        <v>Admitted</v>
      </c>
      <c r="M28" s="10">
        <f>N16</f>
        <v>11</v>
      </c>
      <c r="N28" s="11">
        <f>O16</f>
        <v>0.47826086956521741</v>
      </c>
      <c r="O28" s="12"/>
    </row>
    <row r="29" spans="2:19" x14ac:dyDescent="0.35">
      <c r="R29" t="s">
        <v>35</v>
      </c>
    </row>
    <row r="30" spans="2:19" x14ac:dyDescent="0.35">
      <c r="R30" s="4" t="s">
        <v>4</v>
      </c>
      <c r="S30" t="s">
        <v>32</v>
      </c>
    </row>
    <row r="31" spans="2:19" x14ac:dyDescent="0.35">
      <c r="R31" s="5" t="s">
        <v>33</v>
      </c>
      <c r="S31" s="7">
        <v>13</v>
      </c>
    </row>
    <row r="32" spans="2:19" x14ac:dyDescent="0.35">
      <c r="R32" s="5" t="s">
        <v>34</v>
      </c>
      <c r="S32" s="7">
        <v>10</v>
      </c>
    </row>
    <row r="33" spans="1:19" x14ac:dyDescent="0.35">
      <c r="R33" s="5" t="s">
        <v>5</v>
      </c>
      <c r="S33" s="7">
        <v>23</v>
      </c>
    </row>
    <row r="35" spans="1:19" x14ac:dyDescent="0.35">
      <c r="A35" s="4" t="s">
        <v>4</v>
      </c>
      <c r="L35" t="s">
        <v>27</v>
      </c>
      <c r="O35" t="s">
        <v>31</v>
      </c>
    </row>
    <row r="36" spans="1:19" x14ac:dyDescent="0.35">
      <c r="A36" s="5" t="s">
        <v>49</v>
      </c>
      <c r="L36" s="4" t="s">
        <v>4</v>
      </c>
      <c r="M36" t="s">
        <v>20</v>
      </c>
      <c r="O36" s="4" t="s">
        <v>4</v>
      </c>
      <c r="P36" t="s">
        <v>30</v>
      </c>
    </row>
    <row r="37" spans="1:19" x14ac:dyDescent="0.35">
      <c r="A37" s="5" t="s">
        <v>5</v>
      </c>
      <c r="L37" s="5" t="s">
        <v>21</v>
      </c>
      <c r="M37" s="7">
        <v>2</v>
      </c>
      <c r="O37" s="5" t="s">
        <v>29</v>
      </c>
      <c r="P37" s="7">
        <v>9</v>
      </c>
    </row>
    <row r="38" spans="1:19" x14ac:dyDescent="0.35">
      <c r="L38" s="5" t="s">
        <v>22</v>
      </c>
      <c r="M38" s="7">
        <v>3</v>
      </c>
      <c r="O38" s="5" t="s">
        <v>28</v>
      </c>
      <c r="P38" s="7">
        <v>14</v>
      </c>
    </row>
    <row r="39" spans="1:19" x14ac:dyDescent="0.35">
      <c r="L39" s="5" t="s">
        <v>23</v>
      </c>
      <c r="M39" s="7">
        <v>7</v>
      </c>
      <c r="O39" s="5" t="s">
        <v>5</v>
      </c>
      <c r="P39" s="7">
        <v>23</v>
      </c>
    </row>
    <row r="40" spans="1:19" x14ac:dyDescent="0.35">
      <c r="L40" s="5" t="s">
        <v>26</v>
      </c>
      <c r="M40" s="7">
        <v>2</v>
      </c>
    </row>
    <row r="41" spans="1:19" x14ac:dyDescent="0.35">
      <c r="L41" s="5" t="s">
        <v>24</v>
      </c>
      <c r="M41" s="7">
        <v>4</v>
      </c>
    </row>
    <row r="42" spans="1:19" x14ac:dyDescent="0.35">
      <c r="L42" s="5" t="s">
        <v>25</v>
      </c>
      <c r="M42" s="7">
        <v>5</v>
      </c>
      <c r="O42" s="4" t="s">
        <v>4</v>
      </c>
      <c r="P42" t="s">
        <v>36</v>
      </c>
    </row>
    <row r="43" spans="1:19" x14ac:dyDescent="0.35">
      <c r="L43" s="5" t="s">
        <v>5</v>
      </c>
      <c r="M43" s="7">
        <v>23</v>
      </c>
      <c r="O43" s="5" t="s">
        <v>39</v>
      </c>
      <c r="P43" s="7">
        <v>3</v>
      </c>
    </row>
    <row r="44" spans="1:19" x14ac:dyDescent="0.35">
      <c r="O44" s="5" t="s">
        <v>44</v>
      </c>
      <c r="P44" s="7">
        <v>3</v>
      </c>
    </row>
    <row r="45" spans="1:19" x14ac:dyDescent="0.35">
      <c r="O45" s="5" t="s">
        <v>47</v>
      </c>
      <c r="P45" s="7">
        <v>3</v>
      </c>
    </row>
    <row r="46" spans="1:19" x14ac:dyDescent="0.35">
      <c r="O46" s="5" t="s">
        <v>43</v>
      </c>
      <c r="P46" s="7">
        <v>2</v>
      </c>
    </row>
    <row r="47" spans="1:19" x14ac:dyDescent="0.35">
      <c r="O47" s="5" t="s">
        <v>48</v>
      </c>
      <c r="P47" s="7">
        <v>2</v>
      </c>
    </row>
    <row r="48" spans="1:19" x14ac:dyDescent="0.35">
      <c r="O48" s="5" t="s">
        <v>40</v>
      </c>
      <c r="P48" s="7">
        <v>2</v>
      </c>
    </row>
    <row r="49" spans="15:16" x14ac:dyDescent="0.35">
      <c r="O49" s="5" t="s">
        <v>37</v>
      </c>
      <c r="P49" s="7">
        <v>2</v>
      </c>
    </row>
    <row r="50" spans="15:16" x14ac:dyDescent="0.35">
      <c r="O50" s="5" t="s">
        <v>42</v>
      </c>
      <c r="P50" s="7">
        <v>2</v>
      </c>
    </row>
    <row r="51" spans="15:16" x14ac:dyDescent="0.35">
      <c r="O51" s="5" t="s">
        <v>38</v>
      </c>
      <c r="P51" s="7">
        <v>1</v>
      </c>
    </row>
    <row r="52" spans="15:16" x14ac:dyDescent="0.35">
      <c r="O52" s="5" t="s">
        <v>41</v>
      </c>
      <c r="P52" s="7">
        <v>1</v>
      </c>
    </row>
    <row r="53" spans="15:16" x14ac:dyDescent="0.35">
      <c r="O53" s="5" t="s">
        <v>45</v>
      </c>
      <c r="P53" s="7">
        <v>1</v>
      </c>
    </row>
    <row r="54" spans="15:16" x14ac:dyDescent="0.35">
      <c r="O54" s="5" t="s">
        <v>46</v>
      </c>
      <c r="P54" s="7">
        <v>1</v>
      </c>
    </row>
    <row r="55" spans="15:16" x14ac:dyDescent="0.35">
      <c r="O55" s="5" t="s">
        <v>5</v>
      </c>
      <c r="P55" s="7">
        <v>23</v>
      </c>
    </row>
  </sheetData>
  <pageMargins left="0.7" right="0.7" top="0.75" bottom="0.75" header="0.3" footer="0.3"/>
  <pageSetup paperSize="9" orientation="portrait" r:id="rId1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D63B1-041C-4B81-8550-3FB232278F42}">
  <dimension ref="A21:A31"/>
  <sheetViews>
    <sheetView topLeftCell="A5" workbookViewId="0"/>
  </sheetViews>
  <sheetFormatPr defaultRowHeight="14.5" x14ac:dyDescent="0.35"/>
  <cols>
    <col min="1" max="16384" width="8.7265625" style="6"/>
  </cols>
  <sheetData>
    <row r="21" spans="1:1" x14ac:dyDescent="0.35">
      <c r="A21" s="6" t="s">
        <v>8</v>
      </c>
    </row>
    <row r="27" spans="1:1" x14ac:dyDescent="0.35">
      <c r="A27" s="6" t="s">
        <v>9</v>
      </c>
    </row>
    <row r="29" spans="1:1" x14ac:dyDescent="0.35">
      <c r="A29" s="6" t="s">
        <v>10</v>
      </c>
    </row>
    <row r="31" spans="1:1" x14ac:dyDescent="0.35">
      <c r="A31" s="6" t="s">
        <v>11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CA8CF-C8BA-4471-BF37-117FA9C65E5D}">
  <dimension ref="A1"/>
  <sheetViews>
    <sheetView topLeftCell="A6" workbookViewId="0">
      <selection activeCell="M11" sqref="M11"/>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AA560-E408-48D4-86FE-16E3027DD532}">
  <dimension ref="A1"/>
  <sheetViews>
    <sheetView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30F105D-E3E7-4C14-84C3-AF667ED7EB6A}">
  <ds:schemaRefs>
    <ds:schemaRef ds:uri="http://schemas.microsoft.com/DataMashup"/>
  </ds:schemaRefs>
</ds:datastoreItem>
</file>

<file path=customXml/itemProps2.xml><?xml version="1.0" encoding="utf-8"?>
<ds:datastoreItem xmlns:ds="http://schemas.openxmlformats.org/officeDocument/2006/customXml" ds:itemID="{5F0C64FB-0C15-42F6-AC3F-10D3FC945444}">
  <ds:schemaRefs/>
</ds:datastoreItem>
</file>

<file path=customXml/itemProps3.xml><?xml version="1.0" encoding="utf-8"?>
<ds:datastoreItem xmlns:ds="http://schemas.openxmlformats.org/officeDocument/2006/customXml" ds:itemID="{9B124EA9-14A2-4A04-8946-9271E6C462B8}">
  <ds:schemaRefs/>
</ds:datastoreItem>
</file>

<file path=customXml/itemProps4.xml><?xml version="1.0" encoding="utf-8"?>
<ds:datastoreItem xmlns:ds="http://schemas.openxmlformats.org/officeDocument/2006/customXml" ds:itemID="{4AB9855B-9722-488C-BE89-A81BBB8AD44D}">
  <ds:schemaRefs/>
</ds:datastoreItem>
</file>

<file path=customXml/itemProps5.xml><?xml version="1.0" encoding="utf-8"?>
<ds:datastoreItem xmlns:ds="http://schemas.openxmlformats.org/officeDocument/2006/customXml" ds:itemID="{C4C58407-30A2-4F76-90A0-E1BF10525D60}">
  <ds:schemaRefs/>
</ds:datastoreItem>
</file>

<file path=customXml/itemProps6.xml><?xml version="1.0" encoding="utf-8"?>
<ds:datastoreItem xmlns:ds="http://schemas.openxmlformats.org/officeDocument/2006/customXml" ds:itemID="{46833BBA-86D7-438E-9D6C-F6A79F6EE9A5}">
  <ds:schemaRefs/>
</ds:datastoreItem>
</file>

<file path=customXml/itemProps7.xml><?xml version="1.0" encoding="utf-8"?>
<ds:datastoreItem xmlns:ds="http://schemas.openxmlformats.org/officeDocument/2006/customXml" ds:itemID="{ED42B55C-B0D2-4994-919B-28C92631389C}">
  <ds:schemaRefs/>
</ds:datastoreItem>
</file>

<file path=customXml/itemProps8.xml><?xml version="1.0" encoding="utf-8"?>
<ds:datastoreItem xmlns:ds="http://schemas.openxmlformats.org/officeDocument/2006/customXml" ds:itemID="{F6F3E4D0-1B66-48B4-87BC-6DE1B6E22837}">
  <ds:schemaRefs/>
</ds:datastoreItem>
</file>

<file path=customXml/itemProps9.xml><?xml version="1.0" encoding="utf-8"?>
<ds:datastoreItem xmlns:ds="http://schemas.openxmlformats.org/officeDocument/2006/customXml" ds:itemID="{CCB24F20-9353-4AFF-AADB-C1474BFB86EA}">
  <ds:schemaRefs/>
</ds:datastoreItem>
</file>

<file path=customXml/itemProps10.xml><?xml version="1.0" encoding="utf-8"?>
<ds:datastoreItem xmlns:ds="http://schemas.openxmlformats.org/officeDocument/2006/customXml" ds:itemID="{7BCC5E43-358A-4AA5-A2C2-C2B30935B535}">
  <ds:schemaRefs/>
</ds:datastoreItem>
</file>

<file path=customXml/itemProps11.xml><?xml version="1.0" encoding="utf-8"?>
<ds:datastoreItem xmlns:ds="http://schemas.openxmlformats.org/officeDocument/2006/customXml" ds:itemID="{A35E7F4F-EE1D-40F1-AD51-3859B4BC56D0}">
  <ds:schemaRefs/>
</ds:datastoreItem>
</file>

<file path=customXml/itemProps12.xml><?xml version="1.0" encoding="utf-8"?>
<ds:datastoreItem xmlns:ds="http://schemas.openxmlformats.org/officeDocument/2006/customXml" ds:itemID="{6B31C944-63B4-4D35-B84C-AC261A3B452E}">
  <ds:schemaRefs/>
</ds:datastoreItem>
</file>

<file path=customXml/itemProps13.xml><?xml version="1.0" encoding="utf-8"?>
<ds:datastoreItem xmlns:ds="http://schemas.openxmlformats.org/officeDocument/2006/customXml" ds:itemID="{E936F14A-0A21-4C70-9F25-AF937C94ED26}">
  <ds:schemaRefs/>
</ds:datastoreItem>
</file>

<file path=customXml/itemProps14.xml><?xml version="1.0" encoding="utf-8"?>
<ds:datastoreItem xmlns:ds="http://schemas.openxmlformats.org/officeDocument/2006/customXml" ds:itemID="{AF62AFF0-3CE2-4FC2-884F-15CB30B3DC6C}">
  <ds:schemaRefs/>
</ds:datastoreItem>
</file>

<file path=customXml/itemProps15.xml><?xml version="1.0" encoding="utf-8"?>
<ds:datastoreItem xmlns:ds="http://schemas.openxmlformats.org/officeDocument/2006/customXml" ds:itemID="{09B12EE6-B3C2-4255-A0D6-F6EFF1EE3905}">
  <ds:schemaRefs/>
</ds:datastoreItem>
</file>

<file path=customXml/itemProps16.xml><?xml version="1.0" encoding="utf-8"?>
<ds:datastoreItem xmlns:ds="http://schemas.openxmlformats.org/officeDocument/2006/customXml" ds:itemID="{2183A31A-E45D-452C-B5B4-3B1B2C3C778C}">
  <ds:schemaRefs/>
</ds:datastoreItem>
</file>

<file path=customXml/itemProps17.xml><?xml version="1.0" encoding="utf-8"?>
<ds:datastoreItem xmlns:ds="http://schemas.openxmlformats.org/officeDocument/2006/customXml" ds:itemID="{DD7C9ED9-8CA4-4DE3-894E-A2D817B4B43C}">
  <ds:schemaRefs/>
</ds:datastoreItem>
</file>

<file path=customXml/itemProps18.xml><?xml version="1.0" encoding="utf-8"?>
<ds:datastoreItem xmlns:ds="http://schemas.openxmlformats.org/officeDocument/2006/customXml" ds:itemID="{C9D08163-C3DA-45A0-99FB-939C78F353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report</vt:lpstr>
      <vt:lpstr>Daily Patient ER</vt:lpstr>
      <vt:lpstr>Avg waitime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singh sajwan</dc:creator>
  <cp:lastModifiedBy>aman singh sajwan</cp:lastModifiedBy>
  <dcterms:created xsi:type="dcterms:W3CDTF">2026-06-02T07:20:12Z</dcterms:created>
  <dcterms:modified xsi:type="dcterms:W3CDTF">2026-06-03T08:24:47Z</dcterms:modified>
</cp:coreProperties>
</file>